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drawings/drawing2.xml" ContentType="application/vnd.openxmlformats-officedocument.drawing+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Projects\cdm_generator\inputs\"/>
    </mc:Choice>
  </mc:AlternateContent>
  <xr:revisionPtr revIDLastSave="0" documentId="8_{06F01B0C-57A5-4C05-8C4B-2A17B69E75B2}" xr6:coauthVersionLast="47" xr6:coauthVersionMax="47" xr10:uidLastSave="{00000000-0000-0000-0000-000000000000}"/>
  <bookViews>
    <workbookView xWindow="3105" yWindow="1650" windowWidth="24300" windowHeight="15765" tabRatio="820" firstSheet="3" xr2:uid="{572E5206-00AC-BD45-B31A-21FA0BA0D97A}"/>
  </bookViews>
  <sheets>
    <sheet name="Glossary" sheetId="9" r:id="rId1"/>
    <sheet name="API Summary" sheetId="12" r:id="rId2"/>
    <sheet name="Entities" sheetId="13" r:id="rId3"/>
    <sheet name="ERD" sheetId="16" r:id="rId4"/>
    <sheet name="DGBee Summary" sheetId="15" r:id="rId5"/>
    <sheet name="Data Dictionary" sheetId="14" r:id="rId6"/>
  </sheets>
  <definedNames>
    <definedName name="_xlnm._FilterDatabase" localSheetId="2" hidden="1">Entities!$A$2:$Q$2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 i="13" l="1"/>
  <c r="N1" i="13"/>
  <c r="O1" i="13"/>
  <c r="P1" i="13"/>
  <c r="M1" i="13"/>
  <c r="B1" i="13"/>
  <c r="C1" i="13"/>
  <c r="D1" i="13"/>
  <c r="E1" i="13"/>
  <c r="F1" i="13"/>
  <c r="G1" i="13"/>
  <c r="H1" i="13"/>
  <c r="I1" i="13"/>
  <c r="J1" i="13"/>
  <c r="K1" i="13"/>
  <c r="L1" i="13"/>
  <c r="A1" i="13"/>
  <c r="R1" i="14"/>
  <c r="Q1" i="14"/>
  <c r="P1" i="14"/>
  <c r="O1" i="14"/>
  <c r="N1" i="14"/>
  <c r="M1" i="14"/>
  <c r="L1" i="14"/>
  <c r="K1" i="14"/>
  <c r="J1" i="14"/>
  <c r="I1" i="14"/>
  <c r="H1" i="14"/>
  <c r="G1" i="14"/>
  <c r="F1" i="14"/>
  <c r="E1" i="14"/>
  <c r="D1" i="14"/>
  <c r="C1" i="14"/>
  <c r="B1" i="14"/>
  <c r="A1" i="14"/>
</calcChain>
</file>

<file path=xl/sharedStrings.xml><?xml version="1.0" encoding="utf-8"?>
<sst xmlns="http://schemas.openxmlformats.org/spreadsheetml/2006/main" count="569" uniqueCount="264">
  <si>
    <t>#</t>
  </si>
  <si>
    <t>Key Terms</t>
  </si>
  <si>
    <t>Notes</t>
  </si>
  <si>
    <t>Data Profiling Rule</t>
  </si>
  <si>
    <t>Suggested applicability - Data ingestion level. Metrics to profile table/file for, such as a) Collecting statistical information like min, max, count, sum, mean, median, entropy, distinct count and percent, percent of null/default values etc., b) Collecting data types, length and formats c) Tagging data with keywords, descriptions or categories d)Discovering metadata and assessing its accuracy</t>
  </si>
  <si>
    <t>Business Term</t>
  </si>
  <si>
    <t>Business definition or naming convention for the data element</t>
  </si>
  <si>
    <t>Technical Term</t>
  </si>
  <si>
    <t>Technical definition or naming convention for the data element</t>
  </si>
  <si>
    <t xml:space="preserve">Data Classification </t>
  </si>
  <si>
    <t>Navitus Data Classification 1)Public 2)Internal 3)Confidential 4) Highly Confidential (will be added to the P&amp;P).  
Anything that is sourced from a vendor that we are purchasing is "Confidential", If it's from a public source (like Google), it's "Public".
https://navitus.navexone.com/content/dotNet/documents/?docid=473</t>
  </si>
  <si>
    <t>Calculated Field</t>
  </si>
  <si>
    <t xml:space="preserve">Calculated/Derived field is output generated leveraging data transforms/intergation with dependency for inputs from other sources/tables </t>
  </si>
  <si>
    <t>Calculation depenency</t>
  </si>
  <si>
    <t>Identify dependent fields and calculation steps required to populate the data field/column information</t>
  </si>
  <si>
    <t>Tag(s)</t>
  </si>
  <si>
    <t>Existing AWS Lake Formation/ Database Tags for column/field</t>
  </si>
  <si>
    <t>Critical Data Element (CDE)</t>
  </si>
  <si>
    <t>Refer Data Classification Cheatsheet for definitions, regulatory, technical &amp; business requirements and specific types</t>
  </si>
  <si>
    <t>Personally Identifiable Information (PII)</t>
  </si>
  <si>
    <t>Protected Health Information (PHI)</t>
  </si>
  <si>
    <t>Ancillary Protected Health Information (A-PHI)</t>
  </si>
  <si>
    <t>Refer Data Classification Cheatsheet for definitions and specific types</t>
  </si>
  <si>
    <t>Data Quality Rule</t>
  </si>
  <si>
    <t xml:space="preserve">Data quality rules also known as data validation rules are business rules applicable to tables/files at a column level to measure the contextual accuracy, completeness, validity, uniqueness &amp; consistency and test/validate whether the data meets the defined criteria with the requisitie attributes. Helps the producers and consumers of data to understand the data quality at ingestion/consumption and provide recommendations/identification of potential issues to initiate the required data cleansing and enrichment process to provide users with "high quality" data for analysis/consumption </t>
  </si>
  <si>
    <t>Source Entity</t>
  </si>
  <si>
    <t>Such as Patient Information, Provider Information, Order Information, Drug Information etc.</t>
  </si>
  <si>
    <t xml:space="preserve">Product Domain </t>
  </si>
  <si>
    <t>A logical grouping of items of interest to the organization, or areas of interest within the organization as high-level categories of data for the purpose of assigning accountability and responsibility for the data.</t>
  </si>
  <si>
    <t xml:space="preserve">Party Type </t>
  </si>
  <si>
    <t>Person, Organization, System generated or N/A</t>
  </si>
  <si>
    <t>Party Role</t>
  </si>
  <si>
    <t>Patient, Provider, Pharmacy, Internal etc.</t>
  </si>
  <si>
    <t>Entity</t>
  </si>
  <si>
    <t>Such as party identifier, party email, patient name, provider name,  patient location, pharmacy location etc.</t>
  </si>
  <si>
    <t>On Form-FHIR</t>
  </si>
  <si>
    <t>FHIR - Questionnaire/Questionnaire Response</t>
  </si>
  <si>
    <t>Logical Data Type</t>
  </si>
  <si>
    <t>Varchar(), Boolean, Number(), Y/N etc.</t>
  </si>
  <si>
    <t>Physical Data Type</t>
  </si>
  <si>
    <t xml:space="preserve">Flat-file, Hierarchical, Relational, Object-Oriented </t>
  </si>
  <si>
    <t>Enterprise Data Category</t>
  </si>
  <si>
    <t>Master Data, Transactional Data or Analytical Data</t>
  </si>
  <si>
    <t>Master Data</t>
  </si>
  <si>
    <t>The business objects upon which transactions created.   ex. A customer (master data) purchases a product (master data) on a date (transaction data) for a price (transaction data)</t>
  </si>
  <si>
    <t>Transactional Data</t>
  </si>
  <si>
    <t>Generated by operational systems (applications) and processes as part of operating the business</t>
  </si>
  <si>
    <t>Analytical Data</t>
  </si>
  <si>
    <t>Derived data, including metrics, KPI’s and measures, that supports organizational decision making.  Analytical data is typically derived through calculations or analysis performed on transactional data and master data</t>
  </si>
  <si>
    <t>Master Data Category</t>
  </si>
  <si>
    <t>Categories such as Party (Person/Organization), product names, financial structures, location information etc.</t>
  </si>
  <si>
    <t>Master Data Type</t>
  </si>
  <si>
    <t>Data types such as customer data, product data, financial data and others</t>
  </si>
  <si>
    <t>Standard Link</t>
  </si>
  <si>
    <t>Data elements based on ID, code, display, synonms and definition reference/links with HL7 FHIR standard</t>
  </si>
  <si>
    <t>Dark data </t>
  </si>
  <si>
    <t>Dark data is data that hasn't been cataloged or thoroughly analyzed. It is the lowest form of big data debt because it represents data mostly unknown and unused in analytics or machine learning experiments.</t>
  </si>
  <si>
    <t xml:space="preserve">Data </t>
  </si>
  <si>
    <t>Data subject to data management planning requirements may be defined differently by different funders, programs, or research communities. In the absence of specific guidance, consider the Office of Management and Budget's definition of data: "the recorded factual material commonly accepted in the scientific community as necessary to validate research findings" (OMB Circular A-110). In developing a data management plan, researchers should consider which data would be required to verify their results and which data would have the highest potential and value for reuse by others.</t>
  </si>
  <si>
    <t>Data Catalog</t>
  </si>
  <si>
    <t>A neatly detailed inventory of all data assets in an organization. It uses metadata to help data professionals quickly find, access, and evaluate the most appropriate data for any analytical or business purpose.</t>
  </si>
  <si>
    <t>Data Domain</t>
  </si>
  <si>
    <t xml:space="preserve">A logical grouping of items of interest to the organization, or areas of interest within the organization as high-level categories of data for the purpose of assigning accountability and responsibility for the data. </t>
  </si>
  <si>
    <t>Data Domain Owner</t>
  </si>
  <si>
    <t>The Data Owner is responsible for the data within a specific data domain. A data owner has to ensure that the information within that domain is managed properly across different systems and business activities.</t>
  </si>
  <si>
    <t>Data Governance</t>
  </si>
  <si>
    <t>The system for defining the people, processes, and technologies needed to manage, organize, and protect a company’s data assets.</t>
  </si>
  <si>
    <t>Data Health</t>
  </si>
  <si>
    <t>The state of company data and its ability to support effective business objectives.</t>
  </si>
  <si>
    <t>Data Hygiene</t>
  </si>
  <si>
    <t>The ongoing processes employed to ensure data is clean and ready to use.</t>
  </si>
  <si>
    <t>Data Interportability</t>
  </si>
  <si>
    <t>The ability of different information technology systems and software applications to create, exchange, and consume data in order to use the information that has been exchanged.</t>
  </si>
  <si>
    <t>Data Lineage</t>
  </si>
  <si>
    <t>Tells you where data originated. It’s the process of understanding, recording, and visualizing data as it flows from origin to destination.</t>
  </si>
  <si>
    <t>Data Pipeline</t>
  </si>
  <si>
    <t>The series of steps required to move data from one system (source) to another (destination).</t>
  </si>
  <si>
    <t>Data Portability</t>
  </si>
  <si>
    <t>The ability to move data among different applications, programs, computing environments or cloud services. For example, it lets a user take their data from a service and transfer or “port” it elsewhere</t>
  </si>
  <si>
    <t>Data Quality</t>
  </si>
  <si>
    <t>A measure of how reliable a data set is to serve the specific needs of an organization based on factors such as accuracy, completeness, consistency, reliability and whether it's up to date.</t>
  </si>
  <si>
    <t>Data Replication</t>
  </si>
  <si>
    <t>The process of storing your data in more than one location to improve data availability, reliability, redundancy, and accessibility.</t>
  </si>
  <si>
    <t>Data Scrubbing</t>
  </si>
  <si>
    <t>The procedure of modifying or removing data from a database that is  incomplete, incorrect, inaccurately formatted, repeated, or outdated.</t>
  </si>
  <si>
    <t xml:space="preserve">Data Stewards </t>
  </si>
  <si>
    <t>A data steward is an oversight or data governance role within an organization, and is responsible for ensuring the quality and fitness for purpose of the organization's data assets, including the metadata for those data assets</t>
  </si>
  <si>
    <t>Data Sub-Domain</t>
  </si>
  <si>
    <t xml:space="preserve">A way to further dive a data domain into categories. The sub-domains are unique, and there is a 1:1 relationship between data domain and their sub-domain. </t>
  </si>
  <si>
    <t>Dirty data</t>
  </si>
  <si>
    <t>Dirty data is data that has known and often unknown data quality issues. This includes fields that need to be normalized or are missing values across a large percentage of data. Data quality and profiling tools are potential options for cleansing dirty data.</t>
  </si>
  <si>
    <t>Duplicate data </t>
  </si>
  <si>
    <t>Duplicate data comes from data sources that are full or partial copies of primary data sources. They represent everything from spreadsheets to database temporary tables that were created for single or temporary use and often have derivative data added to them. </t>
  </si>
  <si>
    <t>Dysfunctional data</t>
  </si>
  <si>
    <t>Dysfunctional data occurs when the current data management tools are the wrong ones or are poorly structured to enable optimal use of the data in applications, data analytics, or machine learning. Data stored in file systems, unstructured data stored as CLOB database fields, media data that hasn't been tagged are all examples.   </t>
  </si>
  <si>
    <t xml:space="preserve">Mastered Data </t>
  </si>
  <si>
    <t>A data capability where to ensure an organization has uniformity, accuracy, stewardship, semantic consistency and accountability of the enterprise’s official shared data assets. It supports a consistent set of identifiers and attributes that describe the core entities utilized across the enterprise</t>
  </si>
  <si>
    <t>Masterless data</t>
  </si>
  <si>
    <t>Masterless data is data that is not joined or connected to enterprise master data sources on customers, products, and other primary business entities. It prevents creating full customer data profiles and other analyses that benefit having a central master source and connected data attributes. </t>
  </si>
  <si>
    <t>Metadata</t>
  </si>
  <si>
    <t>Documentation or information about a data set. It may be embedded in the data itself, or exist separately from the data. Metadata may describe the ownership, purpose, methods, organization, and conditions for use of data, technical information about the data, and other information. Many metadata standards exist across a broad range of disciplines and applications. For more information, see our best practices guidance: Metadata and Describing Data.</t>
  </si>
  <si>
    <t>Murky data</t>
  </si>
  <si>
    <t>Murky data is complex data that is only used by a small number of business analysts, data scientists, or citizen data scientists in the organizations. Murky = not well documented or understood and so subject matter experts are required to interpret the data before it's applied accurately. Building data catalogs and defining data dictionaries are two ways to address murky data. </t>
  </si>
  <si>
    <t>Ontology</t>
  </si>
  <si>
    <t>Ontologies use a more expressive set of pre-defined relationships such as part_of, develops_from.​</t>
  </si>
  <si>
    <t>Security</t>
  </si>
  <si>
    <t>Methods of protecting data from unauthorized access, modification, or destruction.</t>
  </si>
  <si>
    <t>Standards</t>
  </si>
  <si>
    <t>Standards - Accepted methods or models of practice; these may be formally approved (as in NISO standards), or de facto standards. In the context of data management, standards typically apply to data or file formats, and to metadata.</t>
  </si>
  <si>
    <t>Taxonomy</t>
  </si>
  <si>
    <t>Taxonomies tend to relate classes using only is_a, e.g. kidney is_a organ is_a anatomical structure ​</t>
  </si>
  <si>
    <t>Unsecured data</t>
  </si>
  <si>
    <t>Unsecured data includes data that hasn't been classified, scanned for privacy and other controls, or does not have well-defined policies on who can use it and for what purposes. It also includes data that isn't adequately encrypted or needs other data security issues addressed.</t>
  </si>
  <si>
    <t>API Name</t>
  </si>
  <si>
    <t>`</t>
  </si>
  <si>
    <t xml:space="preserve">API Definition </t>
  </si>
  <si>
    <t xml:space="preserve">Data/Business Owner </t>
  </si>
  <si>
    <t>Product Owner</t>
  </si>
  <si>
    <t>Mitch Davidson</t>
  </si>
  <si>
    <t>Data Steward(s)</t>
  </si>
  <si>
    <t>Data Consumers</t>
  </si>
  <si>
    <t>Point of Contact - Data Consumers</t>
  </si>
  <si>
    <t>Data Consumers - Delivery method</t>
  </si>
  <si>
    <t>File Format (JSON, Parquet etc)</t>
  </si>
  <si>
    <t>Data Profiling Rule - Column level in Table/File</t>
  </si>
  <si>
    <t>Conceptual Data Model (Insert link or Diagram)</t>
  </si>
  <si>
    <t>Logical Data Model (Insert link or Diagram)</t>
  </si>
  <si>
    <t>https://navitus.atlassian.net/wiki/spaces/NCL/pages/64755547/Benefit+Plan+Architecture+Diagrams?preview=/64755547/309168506/HierarchyERD.png</t>
  </si>
  <si>
    <t>Physical Data Model (Insert link or Diagram)</t>
  </si>
  <si>
    <t xml:space="preserve">Swagger </t>
  </si>
  <si>
    <t>Codebase Link</t>
  </si>
  <si>
    <t>https://modernui.modernuidev.aws.navitus.com/applications/benefit-plan/details/454</t>
  </si>
  <si>
    <t>Request / Response</t>
  </si>
  <si>
    <t>Source Database Name</t>
  </si>
  <si>
    <t>Entity Name</t>
  </si>
  <si>
    <t>Field Name</t>
  </si>
  <si>
    <t xml:space="preserve">Logical Data Type </t>
  </si>
  <si>
    <t xml:space="preserve">Business Term </t>
  </si>
  <si>
    <t>Allow Null (Y/N)</t>
  </si>
  <si>
    <t>Calculated Field (Y/N)</t>
  </si>
  <si>
    <t>Calculation Dependency</t>
  </si>
  <si>
    <t>Data Classification</t>
  </si>
  <si>
    <t>Critical Data Element (CDE) (Y/N)</t>
  </si>
  <si>
    <t>Personally Identifiable Information (PII) (Y/N)</t>
  </si>
  <si>
    <t>Protected Health Information (PHI) (Y/N)</t>
  </si>
  <si>
    <t>Ancillary Protected Health Information (A-PHI) (Y/N)</t>
  </si>
  <si>
    <t>CRM nhs_clientheirarchy.nhs_accountid</t>
  </si>
  <si>
    <t>account</t>
  </si>
  <si>
    <t>account_code</t>
  </si>
  <si>
    <t>varchar(15)</t>
  </si>
  <si>
    <t>N</t>
  </si>
  <si>
    <t>CRM nhs_clientheirarchy.nhs_accountdescription</t>
  </si>
  <si>
    <t>account_name</t>
  </si>
  <si>
    <t>varchar(100)</t>
  </si>
  <si>
    <t>carrier_id</t>
  </si>
  <si>
    <t>int8</t>
  </si>
  <si>
    <t>client_id</t>
  </si>
  <si>
    <t>created_date</t>
  </si>
  <si>
    <t>timestamptz</t>
  </si>
  <si>
    <t>CRM nhs_clientheirarchy.nhs_accounteffectivedate</t>
  </si>
  <si>
    <t>effective_date</t>
  </si>
  <si>
    <t>id</t>
  </si>
  <si>
    <t>CRM nhs_clientheirarchy.nhs_accounttermdate</t>
  </si>
  <si>
    <t>termination_date</t>
  </si>
  <si>
    <t>Y</t>
  </si>
  <si>
    <t>updated_date</t>
  </si>
  <si>
    <t>account_group</t>
  </si>
  <si>
    <t>account_id</t>
  </si>
  <si>
    <t>CRM nhs_clientheirarchy.nhs_accountgrouplinkeffectivedate</t>
  </si>
  <si>
    <t>group_id</t>
  </si>
  <si>
    <t>CRM nhs_clientheirarchy.nhs_accountgrouplinktermdate</t>
  </si>
  <si>
    <t>account_type</t>
  </si>
  <si>
    <t>int2</t>
  </si>
  <si>
    <t>CRM accounts.customertypecode</t>
  </si>
  <si>
    <t xml:space="preserve">name </t>
  </si>
  <si>
    <t>CRM nhs_clientheirarchy.nhs_assocationid</t>
  </si>
  <si>
    <t>association</t>
  </si>
  <si>
    <t>association_code</t>
  </si>
  <si>
    <t>varchar(10)</t>
  </si>
  <si>
    <t>CRM nhs_clientheirarchy.nhs_assocationname</t>
  </si>
  <si>
    <t>association_name</t>
  </si>
  <si>
    <t>varchar(50)</t>
  </si>
  <si>
    <t>CRM nhs_clientheirarchy._nhs_accountheirarchyid_value</t>
  </si>
  <si>
    <t>crm_id</t>
  </si>
  <si>
    <t>text</t>
  </si>
  <si>
    <t>audit_log</t>
  </si>
  <si>
    <t>changed_by</t>
  </si>
  <si>
    <t>entity_id</t>
  </si>
  <si>
    <t>entity_name</t>
  </si>
  <si>
    <t>event_type</t>
  </si>
  <si>
    <t>field_name</t>
  </si>
  <si>
    <t>new_value</t>
  </si>
  <si>
    <t>old_value</t>
  </si>
  <si>
    <t>CRM new_carrierids.new_carrierid</t>
  </si>
  <si>
    <t>carrier</t>
  </si>
  <si>
    <t>carrier_code</t>
  </si>
  <si>
    <t>CRM new_carrierids.new_name</t>
  </si>
  <si>
    <t>carrier_name</t>
  </si>
  <si>
    <t>CRM new_carrierids.nhs_carrierstartdate</t>
  </si>
  <si>
    <t>CRM new_carrierids.nhs_grouploaderfileindicator</t>
  </si>
  <si>
    <t>grouploader</t>
  </si>
  <si>
    <t>bool</t>
  </si>
  <si>
    <t>object_status_id</t>
  </si>
  <si>
    <t>organization_id</t>
  </si>
  <si>
    <t>CRM new_carrierids.nhs_carrierenddate</t>
  </si>
  <si>
    <t>client_association</t>
  </si>
  <si>
    <t>association_id</t>
  </si>
  <si>
    <t>client_info</t>
  </si>
  <si>
    <t>account_type_id</t>
  </si>
  <si>
    <t>CRM accounts.brand</t>
  </si>
  <si>
    <t>brand</t>
  </si>
  <si>
    <t>CRM accounts.name</t>
  </si>
  <si>
    <t xml:space="preserve">client_name </t>
  </si>
  <si>
    <t>varchar(160)</t>
  </si>
  <si>
    <t xml:space="preserve"> CRM accounts.accountid</t>
  </si>
  <si>
    <t xml:space="preserve"> CRM accounts.modifiedon</t>
  </si>
  <si>
    <t>crm_last_updated</t>
  </si>
  <si>
    <t>client_organization</t>
  </si>
  <si>
    <t>client_task</t>
  </si>
  <si>
    <t>error_message</t>
  </si>
  <si>
    <t>started_by</t>
  </si>
  <si>
    <t>varchar(25)</t>
  </si>
  <si>
    <t>task_status</t>
  </si>
  <si>
    <t>task_type</t>
  </si>
  <si>
    <t>group</t>
  </si>
  <si>
    <t>CRM nhs_clientheirarchy.nhs_effectivedate</t>
  </si>
  <si>
    <t>group_code</t>
  </si>
  <si>
    <t>varchar(20)</t>
  </si>
  <si>
    <t>group_name</t>
  </si>
  <si>
    <t>CRM nhs_clientheirarchy.nhs_termdate</t>
  </si>
  <si>
    <t>object_status</t>
  </si>
  <si>
    <t>object_status_display_name</t>
  </si>
  <si>
    <t>varchar(55)</t>
  </si>
  <si>
    <t>object_status_name</t>
  </si>
  <si>
    <t>organization</t>
  </si>
  <si>
    <t>CRM nhs_clientheirarchy.nhs_organizationid</t>
  </si>
  <si>
    <t>organization_code</t>
  </si>
  <si>
    <t>CRM nhs_clientheirarchy.nhs_organizationname</t>
  </si>
  <si>
    <t>organization_name</t>
  </si>
  <si>
    <t>What is DGBee?</t>
  </si>
  <si>
    <t>DGBee is a self-service Data Governance Baseline initiative, with preliminary focus on gathering inputs/ baseline information. DGBee is foundational activity in preparation for establishing baselines based on themes - POD summary, Data Glossary, Data Elements Overview, Data Dictionary and Master Data Reference_FHIR – to capture key information as input, and establish data standards, for powering an Enterprise Data Catalog</t>
  </si>
  <si>
    <t>Tab Name</t>
  </si>
  <si>
    <t xml:space="preserve">Description </t>
  </si>
  <si>
    <t>Glossory</t>
  </si>
  <si>
    <t>Comprehensive (WIP) catalog of business and technology terms used within organization to standardize terms, semantics, reference and usage of data terminology and achieve common understanding of data, categories and definitions across PODs and Navitus teams. Also contains the definitions of terms and column headings for the various tabs in DGBee template/workbook</t>
  </si>
  <si>
    <t>Pod Summary</t>
  </si>
  <si>
    <t>To capture key insights about the Pod, Data Governance related challenges/opportunities, Data Organziation and stakeholder information &amp; Data profiling and modeling aspects</t>
  </si>
  <si>
    <t>Data Elements Overview</t>
  </si>
  <si>
    <t>To capture Data Element level information - data stores, terms and definitions, calculation dependencies,tag(s) and CDE, PII, PHI and A-PHI Information &amp; column/field data quality rules</t>
  </si>
  <si>
    <t>Data Dictionary</t>
  </si>
  <si>
    <t>To capture Attribute level information - Data sources, authoritative data sources, domain, party type/role , logical and physical data type &amp; enterprise data category and master data category/type</t>
  </si>
  <si>
    <t>Master Data Reference_FHIR</t>
  </si>
  <si>
    <t>To capture Data Element level information for those selected "Y" on  "On Form-FHIR" in Data Dictionary tab. Reference to track standard application and compliance - Master Data Type, synonym(s), FHIR mapping - ID, Code, Display, Definition and FHIR standard links</t>
  </si>
  <si>
    <t>Assumptions</t>
  </si>
  <si>
    <t>To capture any assumptions made, common terms used by teams (subjective/team specific semantics, practices) and their defintitions, and/or data standards applied for the data inputs provided for DGBee</t>
  </si>
  <si>
    <t xml:space="preserve"> Data Source</t>
  </si>
  <si>
    <t>Authoritative Data Source (Y/N)</t>
  </si>
  <si>
    <t>Data Repository</t>
  </si>
  <si>
    <t>Product Domain</t>
  </si>
  <si>
    <t>Party Type</t>
  </si>
  <si>
    <t>Table / File Name</t>
  </si>
  <si>
    <t>Attribute</t>
  </si>
  <si>
    <t>On Form-FHIR (Y/N)</t>
  </si>
  <si>
    <t>Field/Column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</si>
</sst>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2"/>
      <color theme="1"/>
      <name val="Calibri"/>
      <family val="2"/>
      <scheme val="minor"/>
    </font>
    <font>
      <u/>
      <sz val="12"/>
      <color theme="10"/>
      <name val="Calibri"/>
      <family val="2"/>
      <scheme val="minor"/>
    </font>
    <font>
      <b/>
      <sz val="12"/>
      <color theme="0"/>
      <name val="Calibri"/>
      <family val="2"/>
      <scheme val="minor"/>
    </font>
    <font>
      <sz val="10"/>
      <color theme="1"/>
      <name val="Calibri"/>
      <family val="2"/>
      <scheme val="minor"/>
    </font>
    <font>
      <sz val="10"/>
      <color rgb="FFFF0000"/>
      <name val="Calibri"/>
      <family val="2"/>
      <scheme val="minor"/>
    </font>
    <font>
      <sz val="12"/>
      <color theme="0"/>
      <name val="Calibri"/>
      <family val="2"/>
      <scheme val="minor"/>
    </font>
    <font>
      <b/>
      <sz val="12"/>
      <color theme="1"/>
      <name val="Calibri"/>
      <family val="2"/>
      <scheme val="minor"/>
    </font>
    <font>
      <sz val="11"/>
      <color rgb="FF000000"/>
      <name val="Cascadia Mono"/>
      <family val="3"/>
    </font>
    <font>
      <sz val="11"/>
      <color rgb="FFFF0000"/>
      <name val="Cascadia Mono"/>
      <family val="3"/>
    </font>
    <font>
      <b/>
      <sz val="11"/>
      <color theme="0"/>
      <name val="Cascadia Mono"/>
      <family val="3"/>
    </font>
    <font>
      <sz val="11"/>
      <color theme="1"/>
      <name val="Cascadia Mono"/>
      <family val="3"/>
    </font>
    <font>
      <sz val="11"/>
      <name val="Cascadia Mono"/>
      <family val="3"/>
    </font>
  </fonts>
  <fills count="7">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
      <patternFill patternType="solid">
        <fgColor theme="2" tint="-0.249977111117893"/>
        <bgColor indexed="64"/>
      </patternFill>
    </fill>
    <fill>
      <patternFill patternType="solid">
        <fgColor theme="0"/>
        <bgColor indexed="64"/>
      </patternFill>
    </fill>
    <fill>
      <patternFill patternType="solid">
        <fgColor rgb="FF0070C0"/>
        <bgColor indexed="64"/>
      </patternFill>
    </fill>
  </fills>
  <borders count="17">
    <border>
      <left/>
      <right/>
      <top/>
      <bottom/>
      <diagonal/>
    </border>
    <border>
      <left/>
      <right/>
      <top style="thin">
        <color theme="4" tint="0.39997558519241921"/>
      </top>
      <bottom style="thin">
        <color theme="4" tint="0.39997558519241921"/>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bottom style="thin">
        <color theme="4" tint="0.39997558519241921"/>
      </bottom>
      <diagonal/>
    </border>
    <border>
      <left/>
      <right/>
      <top style="thin">
        <color theme="4" tint="0.39997558519241921"/>
      </top>
      <bottom/>
      <diagonal/>
    </border>
    <border>
      <left/>
      <right style="thin">
        <color theme="0"/>
      </right>
      <top/>
      <bottom style="thin">
        <color theme="0"/>
      </bottom>
      <diagonal/>
    </border>
    <border>
      <left style="thin">
        <color theme="0"/>
      </left>
      <right style="thin">
        <color theme="0"/>
      </right>
      <top/>
      <bottom style="thin">
        <color theme="0"/>
      </bottom>
      <diagonal/>
    </border>
    <border>
      <left style="thin">
        <color theme="0"/>
      </left>
      <right/>
      <top style="thin">
        <color theme="4" tint="0.39997558519241921"/>
      </top>
      <bottom style="thin">
        <color theme="4" tint="0.39997558519241921"/>
      </bottom>
      <diagonal/>
    </border>
    <border>
      <left style="thin">
        <color indexed="64"/>
      </left>
      <right/>
      <top/>
      <bottom/>
      <diagonal/>
    </border>
  </borders>
  <cellStyleXfs count="2">
    <xf numFmtId="0" fontId="0" fillId="0" borderId="0"/>
    <xf numFmtId="0" fontId="1" fillId="0" borderId="0" applyNumberFormat="0" applyFill="0" applyBorder="0" applyAlignment="0" applyProtection="0"/>
  </cellStyleXfs>
  <cellXfs count="79">
    <xf numFmtId="0" fontId="0" fillId="0" borderId="0" xfId="0"/>
    <xf numFmtId="0" fontId="0" fillId="2" borderId="1" xfId="0" applyFill="1" applyBorder="1" applyAlignment="1">
      <alignment horizontal="left" vertical="center"/>
    </xf>
    <xf numFmtId="0" fontId="0" fillId="2" borderId="1" xfId="0" applyFill="1" applyBorder="1" applyAlignment="1">
      <alignment horizontal="left" vertical="center" wrapText="1"/>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0" xfId="0" applyAlignment="1">
      <alignment wrapText="1"/>
    </xf>
    <xf numFmtId="0" fontId="0" fillId="4" borderId="1" xfId="0" applyFill="1" applyBorder="1" applyAlignment="1">
      <alignment horizontal="left" vertical="center"/>
    </xf>
    <xf numFmtId="0" fontId="0" fillId="4" borderId="1" xfId="0" applyFill="1" applyBorder="1" applyAlignment="1">
      <alignment horizontal="left" vertical="center" wrapText="1"/>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center" vertical="center" wrapText="1"/>
    </xf>
    <xf numFmtId="0" fontId="3" fillId="0" borderId="0" xfId="0" applyFont="1" applyAlignment="1">
      <alignment vertical="center"/>
    </xf>
    <xf numFmtId="0" fontId="3" fillId="0" borderId="0" xfId="0" applyFont="1" applyAlignment="1">
      <alignment vertical="center" wrapText="1"/>
    </xf>
    <xf numFmtId="0" fontId="0" fillId="0" borderId="0" xfId="0" applyAlignment="1">
      <alignment vertical="center" wrapText="1"/>
    </xf>
    <xf numFmtId="0" fontId="3" fillId="0" borderId="0" xfId="0" applyFont="1" applyAlignment="1">
      <alignment horizontal="center" vertical="center"/>
    </xf>
    <xf numFmtId="0" fontId="3" fillId="0" borderId="0" xfId="0" applyFont="1" applyAlignment="1">
      <alignment horizontal="left" vertical="center"/>
    </xf>
    <xf numFmtId="0" fontId="2" fillId="3" borderId="7" xfId="0" applyFont="1" applyFill="1" applyBorder="1" applyAlignment="1">
      <alignment horizontal="left" vertical="center" wrapText="1"/>
    </xf>
    <xf numFmtId="0" fontId="3" fillId="2" borderId="8" xfId="0" applyFont="1" applyFill="1" applyBorder="1" applyAlignment="1">
      <alignment horizontal="left" vertical="center" wrapText="1"/>
    </xf>
    <xf numFmtId="0" fontId="3" fillId="2" borderId="8" xfId="0" applyFont="1" applyFill="1" applyBorder="1" applyAlignment="1">
      <alignment horizontal="left" vertical="center"/>
    </xf>
    <xf numFmtId="0" fontId="2" fillId="3" borderId="9" xfId="0" applyFont="1" applyFill="1" applyBorder="1" applyAlignment="1">
      <alignment horizontal="left" vertical="center" wrapText="1"/>
    </xf>
    <xf numFmtId="0" fontId="3" fillId="2" borderId="10" xfId="0" applyFont="1" applyFill="1" applyBorder="1" applyAlignment="1">
      <alignment horizontal="left" vertical="center" wrapText="1"/>
    </xf>
    <xf numFmtId="0" fontId="2" fillId="3" borderId="6" xfId="0" applyFont="1" applyFill="1" applyBorder="1" applyAlignment="1">
      <alignment horizontal="left" vertical="center" wrapText="1"/>
    </xf>
    <xf numFmtId="0" fontId="3" fillId="2" borderId="6" xfId="0" applyFont="1" applyFill="1" applyBorder="1" applyAlignment="1">
      <alignment horizontal="left" vertical="center" wrapText="1"/>
    </xf>
    <xf numFmtId="0" fontId="2" fillId="3" borderId="11" xfId="0" applyFont="1" applyFill="1" applyBorder="1" applyAlignment="1">
      <alignment horizontal="center" vertical="top"/>
    </xf>
    <xf numFmtId="0" fontId="2" fillId="3" borderId="11" xfId="0" applyFont="1" applyFill="1" applyBorder="1" applyAlignment="1">
      <alignment horizontal="center" vertical="top" wrapText="1"/>
    </xf>
    <xf numFmtId="0" fontId="0" fillId="0" borderId="12" xfId="0" applyBorder="1" applyAlignment="1">
      <alignment horizontal="left" vertical="center"/>
    </xf>
    <xf numFmtId="0" fontId="0" fillId="0" borderId="12" xfId="0" applyBorder="1" applyAlignment="1">
      <alignment horizontal="left" vertical="center" wrapText="1"/>
    </xf>
    <xf numFmtId="0" fontId="4" fillId="5" borderId="2" xfId="0" applyFont="1" applyFill="1" applyBorder="1" applyAlignment="1">
      <alignment horizontal="center" vertical="center"/>
    </xf>
    <xf numFmtId="0" fontId="2" fillId="6" borderId="6" xfId="0" applyFont="1" applyFill="1" applyBorder="1" applyAlignment="1">
      <alignment vertical="center"/>
    </xf>
    <xf numFmtId="0" fontId="2" fillId="6" borderId="6" xfId="0" applyFont="1" applyFill="1" applyBorder="1" applyAlignment="1">
      <alignment vertical="center" wrapText="1"/>
    </xf>
    <xf numFmtId="0" fontId="0" fillId="0" borderId="6" xfId="0" applyBorder="1" applyAlignment="1">
      <alignment vertical="center"/>
    </xf>
    <xf numFmtId="0" fontId="0" fillId="0" borderId="6" xfId="0" applyBorder="1" applyAlignment="1">
      <alignment vertical="center" wrapText="1"/>
    </xf>
    <xf numFmtId="0" fontId="1" fillId="0" borderId="0" xfId="1"/>
    <xf numFmtId="0" fontId="6" fillId="0" borderId="0" xfId="0" applyFont="1" applyAlignment="1">
      <alignment horizontal="center" vertical="center"/>
    </xf>
    <xf numFmtId="0" fontId="0" fillId="2" borderId="15" xfId="0" applyFill="1" applyBorder="1" applyAlignment="1">
      <alignment horizontal="left" vertical="center" wrapText="1"/>
    </xf>
    <xf numFmtId="0" fontId="1" fillId="2" borderId="10" xfId="1" applyFill="1" applyBorder="1" applyAlignment="1">
      <alignment horizontal="left" vertical="center" wrapText="1"/>
    </xf>
    <xf numFmtId="0" fontId="1" fillId="2" borderId="8" xfId="1" applyFill="1" applyBorder="1" applyAlignment="1">
      <alignment horizontal="left" vertical="center" wrapText="1"/>
    </xf>
    <xf numFmtId="0" fontId="8" fillId="5" borderId="5" xfId="0" applyFont="1" applyFill="1" applyBorder="1" applyAlignment="1">
      <alignment horizontal="center" vertical="center" wrapText="1"/>
    </xf>
    <xf numFmtId="0" fontId="8" fillId="0" borderId="0" xfId="0" applyFont="1" applyAlignment="1">
      <alignment vertical="center" wrapText="1"/>
    </xf>
    <xf numFmtId="0" fontId="9" fillId="3" borderId="1" xfId="0" applyFont="1" applyFill="1" applyBorder="1" applyAlignment="1">
      <alignment horizontal="center" vertical="center" wrapText="1"/>
    </xf>
    <xf numFmtId="0" fontId="9" fillId="3" borderId="0" xfId="0" applyFont="1" applyFill="1" applyAlignment="1">
      <alignment horizontal="center" vertical="center" wrapText="1"/>
    </xf>
    <xf numFmtId="0" fontId="10" fillId="0" borderId="0" xfId="0" applyFont="1" applyAlignment="1">
      <alignment vertical="center" wrapText="1"/>
    </xf>
    <xf numFmtId="0" fontId="10" fillId="0" borderId="2" xfId="0" applyFont="1" applyBorder="1" applyAlignment="1">
      <alignment vertical="center" wrapText="1"/>
    </xf>
    <xf numFmtId="0" fontId="10" fillId="0" borderId="3" xfId="0" applyFont="1" applyBorder="1" applyAlignment="1">
      <alignment horizontal="center" vertical="center" wrapText="1"/>
    </xf>
    <xf numFmtId="0" fontId="10" fillId="0" borderId="3" xfId="0" applyFont="1" applyBorder="1" applyAlignment="1">
      <alignment vertical="center" wrapText="1"/>
    </xf>
    <xf numFmtId="0" fontId="10" fillId="0" borderId="3" xfId="0" applyFont="1" applyBorder="1" applyAlignment="1">
      <alignment horizontal="center" wrapText="1"/>
    </xf>
    <xf numFmtId="0" fontId="10" fillId="0" borderId="3" xfId="0" applyFont="1" applyBorder="1" applyAlignment="1">
      <alignment wrapText="1"/>
    </xf>
    <xf numFmtId="0" fontId="9" fillId="0" borderId="3" xfId="0" applyFont="1" applyBorder="1" applyAlignment="1">
      <alignment horizontal="center" wrapText="1"/>
    </xf>
    <xf numFmtId="0" fontId="10" fillId="0" borderId="2" xfId="0" applyFont="1" applyBorder="1" applyAlignment="1">
      <alignment horizontal="center" vertical="center" wrapText="1"/>
    </xf>
    <xf numFmtId="0" fontId="10" fillId="0" borderId="2" xfId="0" applyFont="1" applyBorder="1" applyAlignment="1">
      <alignment wrapText="1"/>
    </xf>
    <xf numFmtId="0" fontId="10" fillId="0" borderId="5" xfId="0" applyFont="1" applyBorder="1" applyAlignment="1">
      <alignment vertical="center" wrapText="1"/>
    </xf>
    <xf numFmtId="0" fontId="10" fillId="0" borderId="13" xfId="0" applyFont="1" applyBorder="1" applyAlignment="1">
      <alignment vertical="center" wrapText="1"/>
    </xf>
    <xf numFmtId="0" fontId="10" fillId="0" borderId="4" xfId="0" applyFont="1" applyBorder="1" applyAlignment="1">
      <alignment vertical="center" wrapText="1"/>
    </xf>
    <xf numFmtId="0" fontId="10" fillId="0" borderId="4" xfId="0" applyFont="1" applyBorder="1" applyAlignment="1">
      <alignment horizontal="center" vertical="center" wrapText="1"/>
    </xf>
    <xf numFmtId="0" fontId="10" fillId="0" borderId="4" xfId="0" applyFont="1" applyBorder="1" applyAlignment="1">
      <alignment horizontal="center" wrapText="1"/>
    </xf>
    <xf numFmtId="0" fontId="10" fillId="0" borderId="0" xfId="0" applyFont="1" applyAlignment="1">
      <alignment horizontal="left" vertical="center" wrapText="1"/>
    </xf>
    <xf numFmtId="0" fontId="10" fillId="0" borderId="0" xfId="0" applyFont="1" applyAlignment="1">
      <alignment horizontal="center" vertical="center" wrapText="1"/>
    </xf>
    <xf numFmtId="0" fontId="11" fillId="0" borderId="3" xfId="0" applyFont="1" applyBorder="1" applyAlignment="1">
      <alignment horizontal="left"/>
    </xf>
    <xf numFmtId="0" fontId="10" fillId="0" borderId="0" xfId="0" applyFont="1" applyAlignment="1">
      <alignment vertical="center"/>
    </xf>
    <xf numFmtId="0" fontId="11" fillId="0" borderId="0" xfId="0" applyFont="1" applyAlignment="1">
      <alignment horizontal="left"/>
    </xf>
    <xf numFmtId="0" fontId="10" fillId="0" borderId="3" xfId="0" applyFont="1" applyBorder="1" applyAlignment="1">
      <alignment vertical="center"/>
    </xf>
    <xf numFmtId="0" fontId="11" fillId="0" borderId="2" xfId="0" applyFont="1" applyBorder="1" applyAlignment="1">
      <alignment horizontal="left"/>
    </xf>
    <xf numFmtId="0" fontId="11" fillId="0" borderId="5" xfId="0" applyFont="1" applyBorder="1" applyAlignment="1">
      <alignment horizontal="left"/>
    </xf>
    <xf numFmtId="0" fontId="10" fillId="0" borderId="5" xfId="0" applyFont="1" applyBorder="1" applyAlignment="1">
      <alignment vertical="center"/>
    </xf>
    <xf numFmtId="0" fontId="7" fillId="0" borderId="0" xfId="0" applyFont="1"/>
    <xf numFmtId="0" fontId="10" fillId="0" borderId="0" xfId="0" applyFont="1"/>
    <xf numFmtId="0" fontId="10" fillId="0" borderId="2" xfId="0" applyFont="1" applyBorder="1" applyAlignment="1">
      <alignment vertical="center"/>
    </xf>
    <xf numFmtId="0" fontId="7" fillId="0" borderId="3" xfId="0" applyFont="1" applyBorder="1"/>
    <xf numFmtId="0" fontId="10" fillId="0" borderId="14" xfId="0" applyFont="1" applyBorder="1" applyAlignment="1">
      <alignment vertical="center"/>
    </xf>
    <xf numFmtId="0" fontId="11" fillId="0" borderId="4" xfId="0" applyFont="1" applyBorder="1" applyAlignment="1">
      <alignment horizontal="left"/>
    </xf>
    <xf numFmtId="0" fontId="11" fillId="0" borderId="14" xfId="0" applyFont="1" applyBorder="1" applyAlignment="1">
      <alignment horizontal="left"/>
    </xf>
    <xf numFmtId="0" fontId="10" fillId="0" borderId="4" xfId="0" applyFont="1" applyBorder="1" applyAlignment="1">
      <alignment vertical="center"/>
    </xf>
    <xf numFmtId="0" fontId="7" fillId="0" borderId="2" xfId="0" applyFont="1" applyBorder="1"/>
    <xf numFmtId="0" fontId="9" fillId="0" borderId="2" xfId="0" applyFont="1" applyBorder="1" applyAlignment="1">
      <alignment horizontal="center" vertical="center" wrapText="1"/>
    </xf>
    <xf numFmtId="0" fontId="1" fillId="2" borderId="16" xfId="1" applyFill="1" applyBorder="1" applyAlignment="1">
      <alignment horizontal="center" vertical="center" wrapText="1"/>
    </xf>
    <xf numFmtId="0" fontId="1" fillId="2" borderId="0" xfId="1" applyFill="1" applyBorder="1" applyAlignment="1">
      <alignment horizontal="center" vertical="center" wrapText="1"/>
    </xf>
    <xf numFmtId="0" fontId="5" fillId="6" borderId="6" xfId="0" applyFont="1" applyFill="1" applyBorder="1" applyAlignment="1">
      <alignment horizontal="left" vertical="center"/>
    </xf>
    <xf numFmtId="0" fontId="0" fillId="0" borderId="6" xfId="0" applyBorder="1" applyAlignment="1">
      <alignment horizontal="center" vertical="center"/>
    </xf>
    <xf numFmtId="0" fontId="0" fillId="0" borderId="6" xfId="0" applyBorder="1" applyAlignment="1">
      <alignment horizontal="left" vertical="center" wrapText="1"/>
    </xf>
  </cellXfs>
  <cellStyles count="2">
    <cellStyle name="Hyperlink" xfId="1" builtinId="8"/>
    <cellStyle name="Normal" xfId="0" builtinId="0"/>
  </cellStyles>
  <dxfs count="54">
    <dxf>
      <font>
        <strike val="0"/>
        <outline val="0"/>
        <shadow val="0"/>
        <u val="none"/>
        <vertAlign val="baseline"/>
        <sz val="10"/>
        <name val="Calibri"/>
        <family val="2"/>
        <scheme val="minor"/>
      </font>
      <alignment vertical="center" textRotation="0" wrapText="1" indent="0" justifyLastLine="0" shrinkToFit="0" readingOrder="0"/>
    </dxf>
    <dxf>
      <font>
        <strike val="0"/>
        <outline val="0"/>
        <shadow val="0"/>
        <u val="none"/>
        <vertAlign val="baseline"/>
        <sz val="10"/>
        <name val="Calibri"/>
        <family val="2"/>
        <scheme val="minor"/>
      </font>
      <alignment vertical="center" textRotation="0" indent="0" justifyLastLine="0" shrinkToFit="0" readingOrder="0"/>
    </dxf>
    <dxf>
      <font>
        <strike val="0"/>
        <outline val="0"/>
        <shadow val="0"/>
        <u val="none"/>
        <vertAlign val="baseline"/>
        <sz val="10"/>
        <name val="Calibri"/>
        <family val="2"/>
        <scheme val="minor"/>
      </font>
      <alignment vertical="center" textRotation="0" indent="0" justifyLastLine="0" shrinkToFit="0" readingOrder="0"/>
    </dxf>
    <dxf>
      <font>
        <strike val="0"/>
        <outline val="0"/>
        <shadow val="0"/>
        <u val="none"/>
        <vertAlign val="baseline"/>
        <sz val="10"/>
        <name val="Calibri"/>
        <family val="2"/>
        <scheme val="minor"/>
      </font>
      <alignment vertical="center" textRotation="0" indent="0" justifyLastLine="0" shrinkToFit="0" readingOrder="0"/>
    </dxf>
    <dxf>
      <font>
        <strike val="0"/>
        <outline val="0"/>
        <shadow val="0"/>
        <u val="none"/>
        <vertAlign val="baseline"/>
        <sz val="10"/>
        <name val="Calibri"/>
        <family val="2"/>
        <scheme val="minor"/>
      </font>
      <alignment vertical="center" textRotation="0" indent="0" justifyLastLine="0" shrinkToFit="0" readingOrder="0"/>
    </dxf>
    <dxf>
      <font>
        <strike val="0"/>
        <outline val="0"/>
        <shadow val="0"/>
        <u val="none"/>
        <vertAlign val="baseline"/>
        <sz val="10"/>
        <name val="Calibri"/>
        <family val="2"/>
        <scheme val="minor"/>
      </font>
      <alignment vertical="center" textRotation="0" indent="0" justifyLastLine="0" shrinkToFit="0" readingOrder="0"/>
    </dxf>
    <dxf>
      <font>
        <strike val="0"/>
        <outline val="0"/>
        <shadow val="0"/>
        <u val="none"/>
        <vertAlign val="baseline"/>
        <sz val="10"/>
        <name val="Calibri"/>
        <family val="2"/>
        <scheme val="minor"/>
      </font>
      <alignment vertical="center" textRotation="0" indent="0" justifyLastLine="0" shrinkToFit="0" readingOrder="0"/>
    </dxf>
    <dxf>
      <font>
        <strike val="0"/>
        <outline val="0"/>
        <shadow val="0"/>
        <u val="none"/>
        <vertAlign val="baseline"/>
        <sz val="10"/>
        <name val="Calibri"/>
        <family val="2"/>
        <scheme val="minor"/>
      </font>
      <alignment horizontal="center" vertical="center" textRotation="0" wrapText="0" indent="0" justifyLastLine="0" shrinkToFit="0" readingOrder="0"/>
    </dxf>
    <dxf>
      <font>
        <strike val="0"/>
        <outline val="0"/>
        <shadow val="0"/>
        <u val="none"/>
        <vertAlign val="baseline"/>
        <sz val="10"/>
        <name val="Calibri"/>
        <family val="2"/>
        <scheme val="minor"/>
      </font>
      <alignment vertical="center" textRotation="0" indent="0" justifyLastLine="0" shrinkToFit="0" readingOrder="0"/>
    </dxf>
    <dxf>
      <font>
        <strike val="0"/>
        <outline val="0"/>
        <shadow val="0"/>
        <u val="none"/>
        <vertAlign val="baseline"/>
        <sz val="10"/>
        <name val="Calibri"/>
        <family val="2"/>
        <scheme val="minor"/>
      </font>
      <alignment vertical="center" textRotation="0" indent="0" justifyLastLine="0" shrinkToFit="0" readingOrder="0"/>
    </dxf>
    <dxf>
      <font>
        <strike val="0"/>
        <outline val="0"/>
        <shadow val="0"/>
        <u val="none"/>
        <vertAlign val="baseline"/>
        <sz val="10"/>
        <name val="Calibri"/>
        <family val="2"/>
        <scheme val="minor"/>
      </font>
      <alignment vertical="center" textRotation="0" indent="0" justifyLastLine="0" shrinkToFit="0" readingOrder="0"/>
    </dxf>
    <dxf>
      <font>
        <strike val="0"/>
        <outline val="0"/>
        <shadow val="0"/>
        <u val="none"/>
        <vertAlign val="baseline"/>
        <sz val="10"/>
        <name val="Calibri"/>
        <family val="2"/>
        <scheme val="minor"/>
      </font>
      <alignment vertical="center" textRotation="0" indent="0" justifyLastLine="0" shrinkToFit="0" readingOrder="0"/>
    </dxf>
    <dxf>
      <font>
        <strike val="0"/>
        <outline val="0"/>
        <shadow val="0"/>
        <u val="none"/>
        <vertAlign val="baseline"/>
        <sz val="10"/>
        <name val="Calibri"/>
        <family val="2"/>
        <scheme val="minor"/>
      </font>
      <alignment vertical="center" textRotation="0" indent="0" justifyLastLine="0" shrinkToFit="0" readingOrder="0"/>
    </dxf>
    <dxf>
      <font>
        <strike val="0"/>
        <outline val="0"/>
        <shadow val="0"/>
        <u val="none"/>
        <vertAlign val="baseline"/>
        <sz val="10"/>
        <name val="Calibri"/>
        <family val="2"/>
        <scheme val="minor"/>
      </font>
      <alignment vertical="center" textRotation="0" indent="0" justifyLastLine="0" shrinkToFit="0" readingOrder="0"/>
    </dxf>
    <dxf>
      <font>
        <strike val="0"/>
        <outline val="0"/>
        <shadow val="0"/>
        <u val="none"/>
        <vertAlign val="baseline"/>
        <sz val="10"/>
        <name val="Calibri"/>
        <family val="2"/>
        <scheme val="minor"/>
      </font>
      <alignment vertical="center" textRotation="0" indent="0" justifyLastLine="0" shrinkToFit="0" readingOrder="0"/>
    </dxf>
    <dxf>
      <font>
        <strike val="0"/>
        <outline val="0"/>
        <shadow val="0"/>
        <u val="none"/>
        <vertAlign val="baseline"/>
        <sz val="10"/>
        <name val="Calibri"/>
        <family val="2"/>
        <scheme val="minor"/>
      </font>
      <alignment vertical="center" textRotation="0" indent="0" justifyLastLine="0" shrinkToFit="0" readingOrder="0"/>
    </dxf>
    <dxf>
      <font>
        <strike val="0"/>
        <outline val="0"/>
        <shadow val="0"/>
        <u val="none"/>
        <vertAlign val="baseline"/>
        <sz val="10"/>
        <name val="Calibri"/>
        <family val="2"/>
        <scheme val="minor"/>
      </font>
      <alignment horizontal="center" vertical="center" textRotation="0" wrapText="0" indent="0" justifyLastLine="0" shrinkToFit="0" readingOrder="0"/>
    </dxf>
    <dxf>
      <font>
        <strike val="0"/>
        <outline val="0"/>
        <shadow val="0"/>
        <u val="none"/>
        <vertAlign val="baseline"/>
        <sz val="10"/>
        <name val="Calibri"/>
        <family val="2"/>
        <scheme val="minor"/>
      </font>
      <alignment horizontal="general" vertical="center" textRotation="0" wrapText="0" indent="0" justifyLastLine="0" shrinkToFit="0" readingOrder="0"/>
    </dxf>
    <dxf>
      <font>
        <strike val="0"/>
        <outline val="0"/>
        <shadow val="0"/>
        <u val="none"/>
        <vertAlign val="baseline"/>
        <sz val="10"/>
        <name val="Calibri"/>
        <family val="2"/>
        <scheme val="none"/>
      </font>
      <alignment vertical="center" textRotation="0" indent="0" justifyLastLine="0" shrinkToFit="0" readingOrder="0"/>
    </dxf>
    <dxf>
      <alignment horizontal="center" vertical="center" textRotation="0" wrapText="0" indent="0" justifyLastLine="0" shrinkToFit="0" readingOrder="0"/>
    </dxf>
    <dxf>
      <font>
        <strike val="0"/>
        <outline val="0"/>
        <shadow val="0"/>
        <u val="none"/>
        <vertAlign val="baseline"/>
        <sz val="11"/>
        <name val="Cascadia Mono"/>
        <family val="3"/>
        <scheme val="none"/>
      </font>
      <fill>
        <patternFill patternType="none">
          <fgColor indexed="64"/>
          <bgColor auto="1"/>
        </patternFill>
      </fill>
      <alignment textRotation="0" wrapText="1"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1"/>
        <name val="Cascadia Mono"/>
        <family val="3"/>
        <scheme val="none"/>
      </font>
      <fill>
        <patternFill patternType="none">
          <fgColor indexed="64"/>
          <bgColor auto="1"/>
        </patternFill>
      </fill>
      <alignment horizontal="center" vertical="bottom"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Cascadia Mono"/>
        <family val="3"/>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Cascadia Mono"/>
        <family val="3"/>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Cascadia Mono"/>
        <family val="3"/>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Cascadia Mono"/>
        <family val="3"/>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Cascadia Mono"/>
        <family val="3"/>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Cascadia Mono"/>
        <family val="3"/>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Cascadia Mono"/>
        <family val="3"/>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Cascadia Mono"/>
        <family val="3"/>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Cascadia Mono"/>
        <family val="3"/>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Cascadia Mono"/>
        <family val="3"/>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Cascadia Mono"/>
        <family val="3"/>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Cascadia Mono"/>
        <family val="3"/>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Cascadia Mono"/>
        <family val="3"/>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Cascadia Mono"/>
        <family val="3"/>
        <scheme val="none"/>
      </font>
      <fill>
        <patternFill patternType="none">
          <fgColor indexed="64"/>
          <bgColor auto="1"/>
        </patternFill>
      </fill>
      <alignment horizontal="general" vertical="center" textRotation="0" wrapText="1" indent="0" justifyLastLine="0" shrinkToFit="0" readingOrder="0"/>
      <border diagonalUp="0" diagonalDown="0" outline="0">
        <left/>
        <right style="thin">
          <color theme="0"/>
        </right>
        <top style="thin">
          <color theme="0"/>
        </top>
        <bottom style="thin">
          <color theme="0"/>
        </bottom>
      </border>
    </dxf>
    <dxf>
      <font>
        <b val="0"/>
        <i val="0"/>
        <strike val="0"/>
        <condense val="0"/>
        <extend val="0"/>
        <outline val="0"/>
        <shadow val="0"/>
        <u val="none"/>
        <vertAlign val="baseline"/>
        <sz val="11"/>
        <color theme="1"/>
        <name val="Cascadia Mono"/>
        <family val="3"/>
        <scheme val="none"/>
      </font>
      <fill>
        <patternFill patternType="none">
          <fgColor indexed="64"/>
          <bgColor auto="1"/>
        </patternFill>
      </fill>
      <alignment horizontal="general" vertical="center" textRotation="0" wrapText="1" indent="0" justifyLastLine="0" shrinkToFit="0" readingOrder="0"/>
      <border diagonalUp="0" diagonalDown="0" outline="0">
        <left/>
        <right style="thin">
          <color theme="0"/>
        </right>
        <top style="thin">
          <color theme="0"/>
        </top>
        <bottom style="thin">
          <color theme="0"/>
        </bottom>
      </border>
    </dxf>
    <dxf>
      <border outline="0">
        <top style="thin">
          <color theme="0"/>
        </top>
        <bottom style="thin">
          <color theme="0"/>
        </bottom>
      </border>
    </dxf>
    <dxf>
      <font>
        <b val="0"/>
        <i val="0"/>
        <strike val="0"/>
        <condense val="0"/>
        <extend val="0"/>
        <outline val="0"/>
        <shadow val="0"/>
        <u val="none"/>
        <vertAlign val="baseline"/>
        <sz val="11"/>
        <color theme="1"/>
        <name val="Cascadia Mono"/>
        <family val="3"/>
        <scheme val="none"/>
      </font>
      <fill>
        <patternFill patternType="none">
          <fgColor indexed="64"/>
          <bgColor auto="1"/>
        </patternFill>
      </fill>
      <alignment horizontal="center" vertical="center" textRotation="0" wrapText="1" indent="0" justifyLastLine="0" shrinkToFit="0" readingOrder="0"/>
    </dxf>
    <dxf>
      <font>
        <b/>
        <i val="0"/>
        <strike val="0"/>
        <condense val="0"/>
        <extend val="0"/>
        <outline val="0"/>
        <shadow val="0"/>
        <u val="none"/>
        <vertAlign val="baseline"/>
        <sz val="11"/>
        <color theme="0"/>
        <name val="Cascadia Mono"/>
        <family val="3"/>
        <scheme val="none"/>
      </font>
      <fill>
        <patternFill patternType="solid">
          <fgColor theme="4"/>
          <bgColor theme="4"/>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left"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left" vertical="center" textRotation="0" wrapText="0" indent="0" justifyLastLine="0" shrinkToFit="0" readingOrder="0"/>
      <border diagonalUp="0" diagonalDown="0" outline="0">
        <left style="thin">
          <color indexed="64"/>
        </left>
        <right/>
        <top/>
        <bottom style="thin">
          <color indexed="64"/>
        </bottom>
      </border>
    </dxf>
    <dxf>
      <font>
        <b/>
        <i val="0"/>
        <strike val="0"/>
        <condense val="0"/>
        <extend val="0"/>
        <outline val="0"/>
        <shadow val="0"/>
        <u val="none"/>
        <vertAlign val="baseline"/>
        <sz val="12"/>
        <color theme="0"/>
        <name val="Calibri"/>
        <family val="2"/>
        <scheme val="minor"/>
      </font>
      <fill>
        <patternFill patternType="solid">
          <fgColor theme="4"/>
          <bgColor theme="4"/>
        </patternFill>
      </fill>
      <alignment horizontal="left"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2"/>
        <color theme="0"/>
        <name val="Calibri"/>
        <family val="2"/>
        <scheme val="minor"/>
      </font>
      <fill>
        <patternFill patternType="solid">
          <fgColor theme="4"/>
          <bgColor theme="4"/>
        </patternFill>
      </fill>
      <alignment horizontal="left" vertical="center" textRotation="0" wrapText="0" indent="0" justifyLastLine="0" shrinkToFit="0" readingOrder="0"/>
      <border diagonalUp="0" diagonalDown="0" outline="0">
        <left/>
        <right style="thin">
          <color indexed="64"/>
        </right>
        <top/>
        <bottom style="thin">
          <color indexed="64"/>
        </bottom>
      </border>
    </dxf>
    <dxf>
      <border>
        <top style="thin">
          <color rgb="FF000000"/>
        </top>
      </border>
    </dxf>
    <dxf>
      <border diagonalUp="0" diagonalDown="0">
        <left style="thin">
          <color rgb="FF000000"/>
        </left>
        <right style="thin">
          <color rgb="FF000000"/>
        </right>
        <top style="thin">
          <color rgb="FF000000"/>
        </top>
        <bottom style="thin">
          <color rgb="FF000000"/>
        </bottom>
      </border>
    </dxf>
    <dxf>
      <border>
        <bottom style="thin">
          <color rgb="FF000000"/>
        </bottom>
      </border>
    </dxf>
    <dxf>
      <border diagonalUp="0" diagonalDown="0">
        <left style="thin">
          <color indexed="64"/>
        </left>
        <right style="thin">
          <color indexed="64"/>
        </right>
        <top/>
        <bottom/>
        <vertical style="thin">
          <color indexed="64"/>
        </vertical>
        <horizontal style="thin">
          <color indexed="64"/>
        </horizontal>
      </border>
    </dxf>
    <dxf>
      <alignment horizontal="lef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left"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left"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top style="thin">
          <color theme="4" tint="0.39997558519241921"/>
        </top>
        <bottom style="thin">
          <color theme="4" tint="0.39997558519241921"/>
        </bottom>
      </border>
    </dxf>
    <dxf>
      <border outline="0">
        <bottom style="thin">
          <color theme="4" tint="0.3999755851924192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90</xdr:row>
      <xdr:rowOff>0</xdr:rowOff>
    </xdr:from>
    <xdr:to>
      <xdr:col>1</xdr:col>
      <xdr:colOff>304800</xdr:colOff>
      <xdr:row>91</xdr:row>
      <xdr:rowOff>99060</xdr:rowOff>
    </xdr:to>
    <xdr:sp macro="" textlink="">
      <xdr:nvSpPr>
        <xdr:cNvPr id="1027" name="AutoShape 3">
          <a:extLst>
            <a:ext uri="{FF2B5EF4-FFF2-40B4-BE49-F238E27FC236}">
              <a16:creationId xmlns:a16="http://schemas.microsoft.com/office/drawing/2014/main" id="{0F411905-684F-7BD4-8636-F663DD244A33}"/>
            </a:ext>
          </a:extLst>
        </xdr:cNvPr>
        <xdr:cNvSpPr>
          <a:spLocks noChangeAspect="1" noChangeArrowheads="1"/>
        </xdr:cNvSpPr>
      </xdr:nvSpPr>
      <xdr:spPr bwMode="auto">
        <a:xfrm>
          <a:off x="1127760" y="228752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411480</xdr:colOff>
      <xdr:row>1</xdr:row>
      <xdr:rowOff>106680</xdr:rowOff>
    </xdr:from>
    <xdr:to>
      <xdr:col>40</xdr:col>
      <xdr:colOff>141215</xdr:colOff>
      <xdr:row>64</xdr:row>
      <xdr:rowOff>48302</xdr:rowOff>
    </xdr:to>
    <xdr:pic>
      <xdr:nvPicPr>
        <xdr:cNvPr id="2" name="Picture 1">
          <a:extLst>
            <a:ext uri="{FF2B5EF4-FFF2-40B4-BE49-F238E27FC236}">
              <a16:creationId xmlns:a16="http://schemas.microsoft.com/office/drawing/2014/main" id="{F27D8600-4231-408E-930F-A577D9DC3C31}"/>
            </a:ext>
          </a:extLst>
        </xdr:cNvPr>
        <xdr:cNvPicPr>
          <a:picLocks noChangeAspect="1"/>
        </xdr:cNvPicPr>
      </xdr:nvPicPr>
      <xdr:blipFill>
        <a:blip xmlns:r="http://schemas.openxmlformats.org/officeDocument/2006/relationships" r:embed="rId1"/>
        <a:stretch>
          <a:fillRect/>
        </a:stretch>
      </xdr:blipFill>
      <xdr:spPr>
        <a:xfrm>
          <a:off x="411480" y="868680"/>
          <a:ext cx="26552135" cy="12423182"/>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EC0E9EF-97FE-C141-83B5-40BE81016CC2}" name="Table6" displayName="Table6" ref="A1:C69" totalsRowShown="0" headerRowBorderDxfId="53" tableBorderDxfId="52" totalsRowBorderDxfId="51">
  <autoFilter ref="A1:C69" xr:uid="{CEC0E9EF-97FE-C141-83B5-40BE81016CC2}"/>
  <tableColumns count="3">
    <tableColumn id="1" xr3:uid="{51139CA9-CD78-CB41-B8A8-E979EBB8C570}" name="#" dataDxfId="50"/>
    <tableColumn id="2" xr3:uid="{091E24C7-E94C-074B-9743-2CD3541EA047}" name="Key Terms" dataDxfId="49"/>
    <tableColumn id="3" xr3:uid="{BD0C4C72-8D9F-214A-9E23-F8B388DBA3AA}" name="Notes" dataDxfId="48"/>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D5592D7-8BA2-F347-9CB2-634392F4B485}" name="Table410" displayName="Table410" ref="A2:B33" headerRowCount="0" totalsRowShown="0" headerRowDxfId="47" headerRowBorderDxfId="46" tableBorderDxfId="45" totalsRowBorderDxfId="44">
  <tableColumns count="2">
    <tableColumn id="1" xr3:uid="{5CF19C51-F7DC-CF4A-A411-8090046B8F10}" name="Pod Name" headerRowDxfId="43" dataDxfId="42"/>
    <tableColumn id="2" xr3:uid="{DDBBC8FE-51E9-C040-BA7D-50EB33787E37}" name="Pod " headerRowDxfId="41" dataDxfId="4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00D3CA3-5EC7-4D75-B26D-33A86EBB0723}" name="Table2" displayName="Table2" ref="A2:Q92" totalsRowShown="0" headerRowDxfId="39" dataDxfId="38" tableBorderDxfId="37">
  <autoFilter ref="A2:Q92" xr:uid="{D00D3CA3-5EC7-4D75-B26D-33A86EBB0723}"/>
  <sortState xmlns:xlrd2="http://schemas.microsoft.com/office/spreadsheetml/2017/richdata2" ref="A3:Q92">
    <sortCondition ref="C3:C77"/>
    <sortCondition ref="D3:D77"/>
  </sortState>
  <tableColumns count="17">
    <tableColumn id="1" xr3:uid="{928D9BE6-155F-4287-BB32-CF7AB036CF7D}" name="Request / Response" dataDxfId="36"/>
    <tableColumn id="2" xr3:uid="{D4901E58-DE22-464E-AD0B-1DE20185F08F}" name="Source Database Name" dataDxfId="35"/>
    <tableColumn id="3" xr3:uid="{AACF6FE2-67F0-4A5D-A5F2-EBC6AAF95E93}" name="Entity Name" dataDxfId="34"/>
    <tableColumn id="4" xr3:uid="{2478C3F0-3666-42F5-8C9E-C2D45086D289}" name="Field Name" dataDxfId="33"/>
    <tableColumn id="5" xr3:uid="{F41C4536-7BE2-4C19-8F5B-FE23E2570C81}" name="Logical Data Type " dataDxfId="32"/>
    <tableColumn id="7" xr3:uid="{B9352FE8-C1F9-4234-A6A9-67AFB1AB5F15}" name="Business Term " dataDxfId="31"/>
    <tableColumn id="8" xr3:uid="{66C59F67-0389-4FEF-9A2D-8CFAB6616500}" name="Technical Term" dataDxfId="30"/>
    <tableColumn id="18" xr3:uid="{5254ECF3-F8D5-4146-9278-478368E0ECD1}" name="Allow Null (Y/N)" dataDxfId="29"/>
    <tableColumn id="9" xr3:uid="{A6FC9F3D-643C-4559-8A29-B45178EF0CB1}" name="Calculated Field (Y/N)" dataDxfId="28"/>
    <tableColumn id="10" xr3:uid="{421944EB-EEC6-4C85-A93F-5DD3E1D44A69}" name="Calculation Dependency" dataDxfId="27"/>
    <tableColumn id="11" xr3:uid="{861FDF46-0BFA-4361-985A-EBDF80A77C6F}" name="Tag(s)" dataDxfId="26"/>
    <tableColumn id="12" xr3:uid="{59312756-303E-44FA-834F-D7D76AD58691}" name="Data Classification" dataDxfId="25"/>
    <tableColumn id="13" xr3:uid="{363EFF76-CE49-43D4-9BEF-5ECBDA351AF1}" name="Critical Data Element (CDE) (Y/N)" dataDxfId="24"/>
    <tableColumn id="14" xr3:uid="{08E62FFA-151D-4BFD-B1DA-0739CD3E23C5}" name="Personally Identifiable Information (PII) (Y/N)" dataDxfId="23"/>
    <tableColumn id="15" xr3:uid="{A4431FCF-0B8E-48F1-9674-E1B400DA7A34}" name="Protected Health Information (PHI) (Y/N)" dataDxfId="22"/>
    <tableColumn id="16" xr3:uid="{26285EAC-813B-4ED2-928E-81C340CBE4A1}" name="Ancillary Protected Health Information (A-PHI) (Y/N)" dataDxfId="21"/>
    <tableColumn id="17" xr3:uid="{E99752C0-BCBA-456E-B6CB-6784DCFD3B97}" name="Data Quality Rule" dataDxfId="20"/>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9C473E8-6CAD-8744-A234-4997D5839999}" name="Table211" displayName="Table211" ref="A2:R12" totalsRowShown="0" headerRowDxfId="19" dataDxfId="18">
  <autoFilter ref="A2:R12" xr:uid="{B782B818-6E18-6E4B-BF52-535312015B9C}"/>
  <tableColumns count="18">
    <tableColumn id="13" xr3:uid="{ED06ACF4-5E66-7F48-BAA7-75BE3FCDA60C}" name=" Data Source" dataDxfId="17"/>
    <tableColumn id="2" xr3:uid="{DA7D32EE-CDD7-2F47-A42B-393B217E4E89}" name="Authoritative Data Source (Y/N)" dataDxfId="16"/>
    <tableColumn id="17" xr3:uid="{DA4E28A2-36FB-0E46-9B8F-23AF932DA133}" name="Data Repository" dataDxfId="15"/>
    <tableColumn id="14" xr3:uid="{BEBC43FB-B80D-E141-ABD9-B88EE7300543}" name="Source Entity" dataDxfId="14"/>
    <tableColumn id="3" xr3:uid="{5FF66D5F-8124-3647-94C7-9D9D38D9A4F4}" name="Product Domain" dataDxfId="13"/>
    <tableColumn id="4" xr3:uid="{C20A49F9-07EC-4C48-BEAA-360C03548A93}" name="Party Type" dataDxfId="12"/>
    <tableColumn id="5" xr3:uid="{92F2186F-A020-EB44-8618-69B97FEBC838}" name="Party Role" dataDxfId="11"/>
    <tableColumn id="6" xr3:uid="{7021295E-47E4-AF4B-B185-9C5C3846CADE}" name="Entity" dataDxfId="10"/>
    <tableColumn id="18" xr3:uid="{46202CC4-EC2D-4B4D-B852-BA820FD67164}" name="Table / File Name" dataDxfId="9"/>
    <tableColumn id="7" xr3:uid="{3AFAE76B-3A5A-F84C-BC6F-AEF98E0DCD52}" name="Attribute" dataDxfId="8"/>
    <tableColumn id="8" xr3:uid="{81EF2C51-D942-BE4F-9C0B-548686BDAA11}" name="On Form-FHIR (Y/N)" dataDxfId="7"/>
    <tableColumn id="12" xr3:uid="{26C083DC-8ACE-F248-AD84-AC62E362EBF0}" name="Field/Column Name" dataDxfId="6"/>
    <tableColumn id="9" xr3:uid="{277CB16B-FBA5-E24B-916A-077F7D3138ED}" name="Logical Data Type " dataDxfId="5"/>
    <tableColumn id="20" xr3:uid="{AA04A25B-41A0-8B46-9BC1-A399E3B53A09}" name="Physical Data Type" dataDxfId="4"/>
    <tableColumn id="16" xr3:uid="{19F92205-B030-7A4F-81D0-29C8183847C2}" name="Enterprise Data Category" dataDxfId="3"/>
    <tableColumn id="15" xr3:uid="{5111DED9-2F4E-8C46-8DE8-56EA1ADBA49E}" name="Master Data Category" dataDxfId="2"/>
    <tableColumn id="10" xr3:uid="{4AB99A8E-BDDF-7043-B014-F4C0536C3875}" name="Master Data Type" dataDxfId="1"/>
    <tableColumn id="11" xr3:uid="{35484B1F-B027-A843-9390-3DACD6E37F32}" name="Notes" dataDxfId="0"/>
  </tableColumns>
  <tableStyleInfo name="TableStyleMedium9"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navitus.atlassian.net/wiki/spaces/NCL/pages/64755547/Benefit+Plan+Architecture+Diagrams?preview=/64755547/309168506/HierarchyERD.png" TargetMode="External"/><Relationship Id="rId1" Type="http://schemas.openxmlformats.org/officeDocument/2006/relationships/hyperlink" Target="https://modernui.modernuidev.aws.navitus.com/applications/benefit-plan/details/454" TargetMode="Externa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navitus.atlassian.net/wiki/spaces/NCL/pages/64755547/Benefit+Plan+Architecture+Diagrams?preview=/64755547/309168506/HierarchyERD.png" TargetMode="Externa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CBB8A-1B21-714C-853F-4833492B036C}">
  <dimension ref="A1:C69"/>
  <sheetViews>
    <sheetView showGridLines="0" tabSelected="1" topLeftCell="A11" zoomScaleNormal="100" workbookViewId="0">
      <selection activeCell="C5" sqref="C5"/>
    </sheetView>
  </sheetViews>
  <sheetFormatPr defaultColWidth="11" defaultRowHeight="15.75" x14ac:dyDescent="0.25"/>
  <cols>
    <col min="1" max="1" width="7.875" customWidth="1"/>
    <col min="2" max="2" width="38.125" customWidth="1"/>
    <col min="3" max="3" width="183.625" style="5" customWidth="1"/>
  </cols>
  <sheetData>
    <row r="1" spans="1:3" x14ac:dyDescent="0.25">
      <c r="A1" s="23" t="s">
        <v>0</v>
      </c>
      <c r="B1" s="23" t="s">
        <v>1</v>
      </c>
      <c r="C1" s="24" t="s">
        <v>2</v>
      </c>
    </row>
    <row r="2" spans="1:3" ht="31.5" x14ac:dyDescent="0.25">
      <c r="A2" s="1">
        <v>1</v>
      </c>
      <c r="B2" s="1" t="s">
        <v>3</v>
      </c>
      <c r="C2" s="2" t="s">
        <v>4</v>
      </c>
    </row>
    <row r="3" spans="1:3" x14ac:dyDescent="0.25">
      <c r="A3" s="3">
        <v>2</v>
      </c>
      <c r="B3" s="3" t="s">
        <v>5</v>
      </c>
      <c r="C3" s="4" t="s">
        <v>6</v>
      </c>
    </row>
    <row r="4" spans="1:3" x14ac:dyDescent="0.25">
      <c r="A4" s="1">
        <v>3</v>
      </c>
      <c r="B4" s="1" t="s">
        <v>7</v>
      </c>
      <c r="C4" s="2" t="s">
        <v>8</v>
      </c>
    </row>
    <row r="5" spans="1:3" ht="47.25" x14ac:dyDescent="0.25">
      <c r="A5" s="3">
        <v>4</v>
      </c>
      <c r="B5" s="3" t="s">
        <v>9</v>
      </c>
      <c r="C5" s="34" t="s">
        <v>10</v>
      </c>
    </row>
    <row r="6" spans="1:3" x14ac:dyDescent="0.25">
      <c r="A6" s="1">
        <v>5</v>
      </c>
      <c r="B6" s="1" t="s">
        <v>11</v>
      </c>
      <c r="C6" s="2" t="s">
        <v>12</v>
      </c>
    </row>
    <row r="7" spans="1:3" x14ac:dyDescent="0.25">
      <c r="A7" s="3">
        <v>6</v>
      </c>
      <c r="B7" s="3" t="s">
        <v>13</v>
      </c>
      <c r="C7" s="4" t="s">
        <v>14</v>
      </c>
    </row>
    <row r="8" spans="1:3" x14ac:dyDescent="0.25">
      <c r="A8" s="1">
        <v>7</v>
      </c>
      <c r="B8" s="1" t="s">
        <v>15</v>
      </c>
      <c r="C8" s="2" t="s">
        <v>16</v>
      </c>
    </row>
    <row r="9" spans="1:3" x14ac:dyDescent="0.25">
      <c r="A9" s="3">
        <v>8</v>
      </c>
      <c r="B9" s="3" t="s">
        <v>17</v>
      </c>
      <c r="C9" s="4" t="s">
        <v>18</v>
      </c>
    </row>
    <row r="10" spans="1:3" x14ac:dyDescent="0.25">
      <c r="A10" s="1">
        <v>9</v>
      </c>
      <c r="B10" s="1" t="s">
        <v>19</v>
      </c>
      <c r="C10" s="2" t="s">
        <v>18</v>
      </c>
    </row>
    <row r="11" spans="1:3" x14ac:dyDescent="0.25">
      <c r="A11" s="3">
        <v>10</v>
      </c>
      <c r="B11" s="3" t="s">
        <v>20</v>
      </c>
      <c r="C11" s="4" t="s">
        <v>18</v>
      </c>
    </row>
    <row r="12" spans="1:3" x14ac:dyDescent="0.25">
      <c r="A12" s="1">
        <v>11</v>
      </c>
      <c r="B12" s="1" t="s">
        <v>21</v>
      </c>
      <c r="C12" s="2" t="s">
        <v>22</v>
      </c>
    </row>
    <row r="13" spans="1:3" ht="47.25" x14ac:dyDescent="0.25">
      <c r="A13" s="3">
        <v>12</v>
      </c>
      <c r="B13" s="3" t="s">
        <v>23</v>
      </c>
      <c r="C13" s="4" t="s">
        <v>24</v>
      </c>
    </row>
    <row r="14" spans="1:3" x14ac:dyDescent="0.25">
      <c r="A14" s="1">
        <v>13</v>
      </c>
      <c r="B14" s="1" t="s">
        <v>25</v>
      </c>
      <c r="C14" s="2" t="s">
        <v>26</v>
      </c>
    </row>
    <row r="15" spans="1:3" x14ac:dyDescent="0.25">
      <c r="A15" s="3">
        <v>14</v>
      </c>
      <c r="B15" s="3" t="s">
        <v>27</v>
      </c>
      <c r="C15" s="4" t="s">
        <v>28</v>
      </c>
    </row>
    <row r="16" spans="1:3" x14ac:dyDescent="0.25">
      <c r="A16" s="1">
        <v>15</v>
      </c>
      <c r="B16" s="1" t="s">
        <v>29</v>
      </c>
      <c r="C16" s="2" t="s">
        <v>30</v>
      </c>
    </row>
    <row r="17" spans="1:3" x14ac:dyDescent="0.25">
      <c r="A17" s="3">
        <v>16</v>
      </c>
      <c r="B17" s="3" t="s">
        <v>31</v>
      </c>
      <c r="C17" s="4" t="s">
        <v>32</v>
      </c>
    </row>
    <row r="18" spans="1:3" x14ac:dyDescent="0.25">
      <c r="A18" s="1">
        <v>17</v>
      </c>
      <c r="B18" s="1" t="s">
        <v>33</v>
      </c>
      <c r="C18" s="2" t="s">
        <v>34</v>
      </c>
    </row>
    <row r="19" spans="1:3" x14ac:dyDescent="0.25">
      <c r="A19" s="3">
        <v>18</v>
      </c>
      <c r="B19" s="3" t="s">
        <v>35</v>
      </c>
      <c r="C19" s="4" t="s">
        <v>36</v>
      </c>
    </row>
    <row r="20" spans="1:3" x14ac:dyDescent="0.25">
      <c r="A20" s="1">
        <v>19</v>
      </c>
      <c r="B20" s="1" t="s">
        <v>37</v>
      </c>
      <c r="C20" s="2" t="s">
        <v>38</v>
      </c>
    </row>
    <row r="21" spans="1:3" x14ac:dyDescent="0.25">
      <c r="A21" s="3">
        <v>20</v>
      </c>
      <c r="B21" s="3" t="s">
        <v>39</v>
      </c>
      <c r="C21" s="4" t="s">
        <v>40</v>
      </c>
    </row>
    <row r="22" spans="1:3" x14ac:dyDescent="0.25">
      <c r="A22" s="1">
        <v>21</v>
      </c>
      <c r="B22" s="1" t="s">
        <v>41</v>
      </c>
      <c r="C22" s="2" t="s">
        <v>42</v>
      </c>
    </row>
    <row r="23" spans="1:3" x14ac:dyDescent="0.25">
      <c r="A23" s="3">
        <v>22</v>
      </c>
      <c r="B23" s="3" t="s">
        <v>43</v>
      </c>
      <c r="C23" s="4" t="s">
        <v>44</v>
      </c>
    </row>
    <row r="24" spans="1:3" x14ac:dyDescent="0.25">
      <c r="A24" s="1">
        <v>23</v>
      </c>
      <c r="B24" s="1" t="s">
        <v>45</v>
      </c>
      <c r="C24" s="2" t="s">
        <v>46</v>
      </c>
    </row>
    <row r="25" spans="1:3" x14ac:dyDescent="0.25">
      <c r="A25" s="3">
        <v>24</v>
      </c>
      <c r="B25" s="3" t="s">
        <v>47</v>
      </c>
      <c r="C25" s="4" t="s">
        <v>48</v>
      </c>
    </row>
    <row r="26" spans="1:3" x14ac:dyDescent="0.25">
      <c r="A26" s="1">
        <v>25</v>
      </c>
      <c r="B26" s="1" t="s">
        <v>49</v>
      </c>
      <c r="C26" s="2" t="s">
        <v>50</v>
      </c>
    </row>
    <row r="27" spans="1:3" x14ac:dyDescent="0.25">
      <c r="A27" s="3">
        <v>26</v>
      </c>
      <c r="B27" s="3" t="s">
        <v>51</v>
      </c>
      <c r="C27" s="4" t="s">
        <v>52</v>
      </c>
    </row>
    <row r="28" spans="1:3" x14ac:dyDescent="0.25">
      <c r="A28" s="1">
        <v>27</v>
      </c>
      <c r="B28" s="1" t="s">
        <v>53</v>
      </c>
      <c r="C28" s="2" t="s">
        <v>54</v>
      </c>
    </row>
    <row r="29" spans="1:3" ht="15.95" customHeight="1" x14ac:dyDescent="0.25">
      <c r="A29" s="6"/>
      <c r="B29" s="6"/>
      <c r="C29" s="7"/>
    </row>
    <row r="30" spans="1:3" x14ac:dyDescent="0.25">
      <c r="A30" s="1">
        <v>28</v>
      </c>
      <c r="B30" s="1" t="s">
        <v>55</v>
      </c>
      <c r="C30" s="2" t="s">
        <v>56</v>
      </c>
    </row>
    <row r="31" spans="1:3" ht="47.25" x14ac:dyDescent="0.25">
      <c r="A31" s="3">
        <v>29</v>
      </c>
      <c r="B31" s="3" t="s">
        <v>57</v>
      </c>
      <c r="C31" s="4" t="s">
        <v>58</v>
      </c>
    </row>
    <row r="32" spans="1:3" x14ac:dyDescent="0.25">
      <c r="A32" s="1">
        <v>30</v>
      </c>
      <c r="B32" s="1" t="s">
        <v>59</v>
      </c>
      <c r="C32" s="2" t="s">
        <v>60</v>
      </c>
    </row>
    <row r="33" spans="1:3" x14ac:dyDescent="0.25">
      <c r="A33" s="3">
        <v>31</v>
      </c>
      <c r="B33" s="3" t="s">
        <v>61</v>
      </c>
      <c r="C33" s="4" t="s">
        <v>62</v>
      </c>
    </row>
    <row r="34" spans="1:3" x14ac:dyDescent="0.25">
      <c r="A34" s="1">
        <v>32</v>
      </c>
      <c r="B34" s="1" t="s">
        <v>63</v>
      </c>
      <c r="C34" s="2" t="s">
        <v>64</v>
      </c>
    </row>
    <row r="35" spans="1:3" x14ac:dyDescent="0.25">
      <c r="A35" s="3">
        <v>33</v>
      </c>
      <c r="B35" s="3" t="s">
        <v>65</v>
      </c>
      <c r="C35" s="4" t="s">
        <v>66</v>
      </c>
    </row>
    <row r="36" spans="1:3" x14ac:dyDescent="0.25">
      <c r="A36" s="1">
        <v>34</v>
      </c>
      <c r="B36" s="1" t="s">
        <v>67</v>
      </c>
      <c r="C36" s="2" t="s">
        <v>68</v>
      </c>
    </row>
    <row r="37" spans="1:3" x14ac:dyDescent="0.25">
      <c r="A37" s="3">
        <v>35</v>
      </c>
      <c r="B37" s="3" t="s">
        <v>69</v>
      </c>
      <c r="C37" s="4" t="s">
        <v>70</v>
      </c>
    </row>
    <row r="38" spans="1:3" x14ac:dyDescent="0.25">
      <c r="A38" s="1">
        <v>36</v>
      </c>
      <c r="B38" s="1" t="s">
        <v>71</v>
      </c>
      <c r="C38" s="2" t="s">
        <v>72</v>
      </c>
    </row>
    <row r="39" spans="1:3" x14ac:dyDescent="0.25">
      <c r="A39" s="3">
        <v>37</v>
      </c>
      <c r="B39" s="3" t="s">
        <v>73</v>
      </c>
      <c r="C39" s="4" t="s">
        <v>74</v>
      </c>
    </row>
    <row r="40" spans="1:3" x14ac:dyDescent="0.25">
      <c r="A40" s="1">
        <v>38</v>
      </c>
      <c r="B40" s="1" t="s">
        <v>75</v>
      </c>
      <c r="C40" s="2" t="s">
        <v>76</v>
      </c>
    </row>
    <row r="41" spans="1:3" x14ac:dyDescent="0.25">
      <c r="A41" s="3">
        <v>39</v>
      </c>
      <c r="B41" s="3" t="s">
        <v>77</v>
      </c>
      <c r="C41" s="4" t="s">
        <v>78</v>
      </c>
    </row>
    <row r="42" spans="1:3" x14ac:dyDescent="0.25">
      <c r="A42" s="1">
        <v>40</v>
      </c>
      <c r="B42" s="1" t="s">
        <v>79</v>
      </c>
      <c r="C42" s="2" t="s">
        <v>80</v>
      </c>
    </row>
    <row r="43" spans="1:3" x14ac:dyDescent="0.25">
      <c r="A43" s="3">
        <v>41</v>
      </c>
      <c r="B43" s="3" t="s">
        <v>81</v>
      </c>
      <c r="C43" s="4" t="s">
        <v>82</v>
      </c>
    </row>
    <row r="44" spans="1:3" x14ac:dyDescent="0.25">
      <c r="A44" s="1">
        <v>42</v>
      </c>
      <c r="B44" s="1" t="s">
        <v>83</v>
      </c>
      <c r="C44" s="2" t="s">
        <v>84</v>
      </c>
    </row>
    <row r="45" spans="1:3" ht="31.5" x14ac:dyDescent="0.25">
      <c r="A45" s="3">
        <v>43</v>
      </c>
      <c r="B45" s="3" t="s">
        <v>85</v>
      </c>
      <c r="C45" s="4" t="s">
        <v>86</v>
      </c>
    </row>
    <row r="46" spans="1:3" x14ac:dyDescent="0.25">
      <c r="A46" s="1">
        <v>44</v>
      </c>
      <c r="B46" s="1" t="s">
        <v>87</v>
      </c>
      <c r="C46" s="2" t="s">
        <v>88</v>
      </c>
    </row>
    <row r="47" spans="1:3" ht="31.5" x14ac:dyDescent="0.25">
      <c r="A47" s="3">
        <v>45</v>
      </c>
      <c r="B47" s="3" t="s">
        <v>89</v>
      </c>
      <c r="C47" s="4" t="s">
        <v>90</v>
      </c>
    </row>
    <row r="48" spans="1:3" ht="31.5" x14ac:dyDescent="0.25">
      <c r="A48" s="1">
        <v>46</v>
      </c>
      <c r="B48" s="1" t="s">
        <v>91</v>
      </c>
      <c r="C48" s="2" t="s">
        <v>92</v>
      </c>
    </row>
    <row r="49" spans="1:3" ht="31.5" x14ac:dyDescent="0.25">
      <c r="A49" s="3">
        <v>47</v>
      </c>
      <c r="B49" s="3" t="s">
        <v>93</v>
      </c>
      <c r="C49" s="4" t="s">
        <v>94</v>
      </c>
    </row>
    <row r="50" spans="1:3" ht="31.5" x14ac:dyDescent="0.25">
      <c r="A50" s="1">
        <v>48</v>
      </c>
      <c r="B50" s="1" t="s">
        <v>95</v>
      </c>
      <c r="C50" s="2" t="s">
        <v>96</v>
      </c>
    </row>
    <row r="51" spans="1:3" ht="31.5" x14ac:dyDescent="0.25">
      <c r="A51" s="3">
        <v>49</v>
      </c>
      <c r="B51" s="3" t="s">
        <v>97</v>
      </c>
      <c r="C51" s="4" t="s">
        <v>98</v>
      </c>
    </row>
    <row r="52" spans="1:3" ht="47.25" x14ac:dyDescent="0.25">
      <c r="A52" s="1">
        <v>50</v>
      </c>
      <c r="B52" s="1" t="s">
        <v>99</v>
      </c>
      <c r="C52" s="2" t="s">
        <v>100</v>
      </c>
    </row>
    <row r="53" spans="1:3" ht="31.5" x14ac:dyDescent="0.25">
      <c r="A53" s="3">
        <v>51</v>
      </c>
      <c r="B53" s="3" t="s">
        <v>101</v>
      </c>
      <c r="C53" s="4" t="s">
        <v>102</v>
      </c>
    </row>
    <row r="54" spans="1:3" x14ac:dyDescent="0.25">
      <c r="A54" s="1">
        <v>52</v>
      </c>
      <c r="B54" s="1" t="s">
        <v>103</v>
      </c>
      <c r="C54" s="2" t="s">
        <v>104</v>
      </c>
    </row>
    <row r="55" spans="1:3" x14ac:dyDescent="0.25">
      <c r="A55" s="3">
        <v>53</v>
      </c>
      <c r="B55" s="3" t="s">
        <v>105</v>
      </c>
      <c r="C55" s="4" t="s">
        <v>106</v>
      </c>
    </row>
    <row r="56" spans="1:3" ht="31.5" x14ac:dyDescent="0.25">
      <c r="A56" s="1">
        <v>54</v>
      </c>
      <c r="B56" s="1" t="s">
        <v>107</v>
      </c>
      <c r="C56" s="2" t="s">
        <v>108</v>
      </c>
    </row>
    <row r="57" spans="1:3" x14ac:dyDescent="0.25">
      <c r="A57" s="3">
        <v>55</v>
      </c>
      <c r="B57" s="3" t="s">
        <v>109</v>
      </c>
      <c r="C57" s="4" t="s">
        <v>110</v>
      </c>
    </row>
    <row r="58" spans="1:3" ht="31.5" x14ac:dyDescent="0.25">
      <c r="A58" s="1">
        <v>56</v>
      </c>
      <c r="B58" s="1" t="s">
        <v>111</v>
      </c>
      <c r="C58" s="2" t="s">
        <v>112</v>
      </c>
    </row>
    <row r="59" spans="1:3" x14ac:dyDescent="0.25">
      <c r="A59" s="3">
        <v>57</v>
      </c>
      <c r="B59" s="3"/>
      <c r="C59" s="4"/>
    </row>
    <row r="60" spans="1:3" x14ac:dyDescent="0.25">
      <c r="A60" s="1">
        <v>58</v>
      </c>
      <c r="B60" s="1"/>
      <c r="C60" s="2"/>
    </row>
    <row r="61" spans="1:3" x14ac:dyDescent="0.25">
      <c r="A61" s="3">
        <v>59</v>
      </c>
      <c r="B61" s="3"/>
      <c r="C61" s="4"/>
    </row>
    <row r="62" spans="1:3" x14ac:dyDescent="0.25">
      <c r="A62" s="1">
        <v>60</v>
      </c>
      <c r="B62" s="1"/>
      <c r="C62" s="2"/>
    </row>
    <row r="63" spans="1:3" x14ac:dyDescent="0.25">
      <c r="A63" s="3">
        <v>61</v>
      </c>
      <c r="B63" s="3"/>
      <c r="C63" s="4"/>
    </row>
    <row r="64" spans="1:3" x14ac:dyDescent="0.25">
      <c r="A64" s="1">
        <v>62</v>
      </c>
      <c r="B64" s="1"/>
      <c r="C64" s="2"/>
    </row>
    <row r="65" spans="1:3" x14ac:dyDescent="0.25">
      <c r="A65" s="3">
        <v>63</v>
      </c>
      <c r="B65" s="3"/>
      <c r="C65" s="4"/>
    </row>
    <row r="66" spans="1:3" x14ac:dyDescent="0.25">
      <c r="A66" s="1">
        <v>64</v>
      </c>
      <c r="B66" s="1"/>
      <c r="C66" s="2"/>
    </row>
    <row r="67" spans="1:3" x14ac:dyDescent="0.25">
      <c r="A67" s="3">
        <v>65</v>
      </c>
      <c r="B67" s="3"/>
      <c r="C67" s="4"/>
    </row>
    <row r="68" spans="1:3" x14ac:dyDescent="0.25">
      <c r="A68" s="1">
        <v>66</v>
      </c>
      <c r="B68" s="1"/>
      <c r="C68" s="2"/>
    </row>
    <row r="69" spans="1:3" x14ac:dyDescent="0.25">
      <c r="A69" s="25">
        <v>67</v>
      </c>
      <c r="B69" s="25"/>
      <c r="C69" s="26"/>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512A9-8539-8441-897F-1367D2A8A481}">
  <dimension ref="A1:C33"/>
  <sheetViews>
    <sheetView showGridLines="0" zoomScale="110" zoomScaleNormal="110" workbookViewId="0">
      <selection activeCell="B12" sqref="B12"/>
    </sheetView>
  </sheetViews>
  <sheetFormatPr defaultColWidth="10.875" defaultRowHeight="12.75" x14ac:dyDescent="0.25"/>
  <cols>
    <col min="1" max="1" width="43.125" style="15" customWidth="1"/>
    <col min="2" max="2" width="137" style="15" customWidth="1"/>
    <col min="3" max="16384" width="10.875" style="11"/>
  </cols>
  <sheetData>
    <row r="1" spans="1:3" s="8" customFormat="1" ht="15.75" x14ac:dyDescent="0.25">
      <c r="A1" s="21" t="s">
        <v>113</v>
      </c>
      <c r="B1" s="22"/>
      <c r="C1" s="8" t="s">
        <v>114</v>
      </c>
    </row>
    <row r="2" spans="1:3" ht="15.75" x14ac:dyDescent="0.25">
      <c r="A2" s="16" t="s">
        <v>115</v>
      </c>
      <c r="B2" s="17"/>
    </row>
    <row r="3" spans="1:3" ht="15.75" x14ac:dyDescent="0.25">
      <c r="A3" s="16" t="s">
        <v>116</v>
      </c>
      <c r="B3" s="17"/>
    </row>
    <row r="4" spans="1:3" ht="15.75" x14ac:dyDescent="0.25">
      <c r="A4" s="16" t="s">
        <v>117</v>
      </c>
      <c r="B4" s="17" t="s">
        <v>118</v>
      </c>
    </row>
    <row r="5" spans="1:3" ht="15.75" x14ac:dyDescent="0.25">
      <c r="A5" s="16" t="s">
        <v>119</v>
      </c>
      <c r="B5" s="17"/>
    </row>
    <row r="6" spans="1:3" ht="15.75" x14ac:dyDescent="0.25">
      <c r="A6" s="16" t="s">
        <v>120</v>
      </c>
      <c r="B6" s="17"/>
    </row>
    <row r="7" spans="1:3" ht="15.75" x14ac:dyDescent="0.25">
      <c r="A7" s="16" t="s">
        <v>121</v>
      </c>
      <c r="B7" s="17"/>
    </row>
    <row r="8" spans="1:3" ht="15.75" x14ac:dyDescent="0.25">
      <c r="A8" s="16" t="s">
        <v>122</v>
      </c>
      <c r="B8" s="17"/>
    </row>
    <row r="9" spans="1:3" ht="15.75" x14ac:dyDescent="0.25">
      <c r="A9" s="16" t="s">
        <v>123</v>
      </c>
      <c r="B9" s="17"/>
    </row>
    <row r="10" spans="1:3" ht="15.75" x14ac:dyDescent="0.25">
      <c r="A10" s="16" t="s">
        <v>124</v>
      </c>
      <c r="B10" s="18"/>
    </row>
    <row r="11" spans="1:3" ht="15.75" x14ac:dyDescent="0.25">
      <c r="A11" s="16" t="s">
        <v>125</v>
      </c>
      <c r="B11" s="18"/>
    </row>
    <row r="12" spans="1:3" ht="15.75" x14ac:dyDescent="0.25">
      <c r="A12" s="16" t="s">
        <v>126</v>
      </c>
      <c r="B12" s="36" t="s">
        <v>127</v>
      </c>
    </row>
    <row r="13" spans="1:3" ht="15.75" x14ac:dyDescent="0.25">
      <c r="A13" s="19" t="s">
        <v>128</v>
      </c>
      <c r="B13" s="20"/>
    </row>
    <row r="14" spans="1:3" ht="15.75" x14ac:dyDescent="0.25">
      <c r="A14" s="19" t="s">
        <v>129</v>
      </c>
      <c r="B14" s="32"/>
    </row>
    <row r="15" spans="1:3" ht="15.75" x14ac:dyDescent="0.25">
      <c r="A15" s="19" t="s">
        <v>130</v>
      </c>
      <c r="B15" s="35" t="s">
        <v>131</v>
      </c>
    </row>
    <row r="16" spans="1:3" ht="15.75" x14ac:dyDescent="0.25">
      <c r="A16" s="19"/>
      <c r="B16" s="35"/>
    </row>
    <row r="17" spans="1:2" ht="15.75" x14ac:dyDescent="0.25">
      <c r="A17" s="19"/>
      <c r="B17" s="35"/>
    </row>
    <row r="18" spans="1:2" ht="15.75" x14ac:dyDescent="0.25">
      <c r="A18" s="19"/>
      <c r="B18" s="35"/>
    </row>
    <row r="19" spans="1:2" ht="15.75" x14ac:dyDescent="0.25">
      <c r="A19" s="19"/>
      <c r="B19" s="35"/>
    </row>
    <row r="20" spans="1:2" ht="15.75" x14ac:dyDescent="0.25">
      <c r="A20" s="19"/>
      <c r="B20" s="35"/>
    </row>
    <row r="21" spans="1:2" ht="15.75" x14ac:dyDescent="0.25">
      <c r="A21" s="19"/>
      <c r="B21" s="35"/>
    </row>
    <row r="22" spans="1:2" ht="15.75" x14ac:dyDescent="0.25">
      <c r="A22" s="19"/>
      <c r="B22" s="35"/>
    </row>
    <row r="23" spans="1:2" ht="15.75" x14ac:dyDescent="0.25">
      <c r="A23" s="19"/>
      <c r="B23" s="35"/>
    </row>
    <row r="24" spans="1:2" ht="15.75" x14ac:dyDescent="0.25">
      <c r="A24" s="19"/>
      <c r="B24" s="35"/>
    </row>
    <row r="25" spans="1:2" ht="15.75" x14ac:dyDescent="0.25">
      <c r="A25" s="19"/>
      <c r="B25" s="35"/>
    </row>
    <row r="26" spans="1:2" ht="15.75" x14ac:dyDescent="0.25">
      <c r="A26" s="19"/>
      <c r="B26" s="35"/>
    </row>
    <row r="27" spans="1:2" ht="15.75" x14ac:dyDescent="0.25">
      <c r="A27" s="19"/>
      <c r="B27" s="35"/>
    </row>
    <row r="28" spans="1:2" ht="15.75" x14ac:dyDescent="0.25">
      <c r="A28" s="19"/>
      <c r="B28" s="35"/>
    </row>
    <row r="29" spans="1:2" ht="15.75" x14ac:dyDescent="0.25">
      <c r="A29" s="19"/>
      <c r="B29" s="35"/>
    </row>
    <row r="30" spans="1:2" ht="15.75" x14ac:dyDescent="0.25">
      <c r="A30" s="19"/>
      <c r="B30" s="35"/>
    </row>
    <row r="31" spans="1:2" ht="15.75" x14ac:dyDescent="0.25">
      <c r="A31" s="19"/>
      <c r="B31" s="35"/>
    </row>
    <row r="32" spans="1:2" ht="15.75" x14ac:dyDescent="0.25">
      <c r="A32" s="19"/>
      <c r="B32" s="35"/>
    </row>
    <row r="33" spans="1:2" ht="15.75" x14ac:dyDescent="0.25">
      <c r="A33" s="19"/>
      <c r="B33" s="35"/>
    </row>
  </sheetData>
  <hyperlinks>
    <hyperlink ref="B15" r:id="rId1" xr:uid="{29289E85-5A58-484F-9ADB-56C9EC5D2E9A}"/>
    <hyperlink ref="B12" r:id="rId2" xr:uid="{09B1FB12-B05F-4A92-BADD-818D19EFA1E7}"/>
  </hyperlinks>
  <pageMargins left="0.7" right="0.7" top="0.75" bottom="0.75" header="0.3" footer="0.3"/>
  <pageSetup orientation="portrait" r:id="rId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C29F9-D63B-0840-B98C-6F6D8228FC45}">
  <dimension ref="A1:Q92"/>
  <sheetViews>
    <sheetView showGridLines="0" zoomScaleNormal="100" workbookViewId="0">
      <selection activeCell="F3" sqref="F3"/>
    </sheetView>
  </sheetViews>
  <sheetFormatPr defaultColWidth="10.875" defaultRowHeight="16.5" x14ac:dyDescent="0.25"/>
  <cols>
    <col min="1" max="1" width="14.75" style="55" bestFit="1" customWidth="1"/>
    <col min="2" max="2" width="65" style="55" customWidth="1"/>
    <col min="3" max="3" width="22.125" style="55" bestFit="1" customWidth="1"/>
    <col min="4" max="4" width="30" style="55" bestFit="1" customWidth="1"/>
    <col min="5" max="5" width="23.75" style="55" bestFit="1" customWidth="1"/>
    <col min="6" max="6" width="13.75" style="55" bestFit="1" customWidth="1"/>
    <col min="7" max="7" width="14.75" style="55" bestFit="1" customWidth="1"/>
    <col min="8" max="8" width="10.375" style="56" bestFit="1" customWidth="1"/>
    <col min="9" max="9" width="17.125" style="55" bestFit="1" customWidth="1"/>
    <col min="10" max="10" width="15.875" style="55" bestFit="1" customWidth="1"/>
    <col min="11" max="11" width="11.5" style="55" bestFit="1" customWidth="1"/>
    <col min="12" max="12" width="18.25" style="56" bestFit="1" customWidth="1"/>
    <col min="13" max="13" width="19.25" style="56" bestFit="1" customWidth="1"/>
    <col min="14" max="14" width="30.625" style="56" bestFit="1" customWidth="1"/>
    <col min="15" max="15" width="22.75" style="56" bestFit="1" customWidth="1"/>
    <col min="16" max="16" width="26.125" style="55" bestFit="1" customWidth="1"/>
    <col min="17" max="17" width="12.625" style="41" bestFit="1" customWidth="1"/>
    <col min="18" max="16384" width="10.875" style="41"/>
  </cols>
  <sheetData>
    <row r="1" spans="1:17" s="38" customFormat="1" x14ac:dyDescent="0.25">
      <c r="A1" s="37">
        <f>COUNTA(Table2[Request / Response])</f>
        <v>0</v>
      </c>
      <c r="B1" s="37">
        <f>COUNTA(Table2[Source Database Name])</f>
        <v>23</v>
      </c>
      <c r="C1" s="37">
        <f>COUNTA(Table2[Entity Name])</f>
        <v>90</v>
      </c>
      <c r="D1" s="37">
        <f>COUNTA(Table2[Field Name])</f>
        <v>90</v>
      </c>
      <c r="E1" s="37">
        <f>COUNTA(Table2[[Logical Data Type ]])</f>
        <v>90</v>
      </c>
      <c r="F1" s="37">
        <f>COUNTA(Table2[[Business Term ]])</f>
        <v>0</v>
      </c>
      <c r="G1" s="37">
        <f>COUNTA(Table2[Technical Term])</f>
        <v>0</v>
      </c>
      <c r="H1" s="37">
        <f>COUNTA(Table2[Allow Null (Y/N)])</f>
        <v>90</v>
      </c>
      <c r="I1" s="37">
        <f>COUNTA(Table2[Calculated Field (Y/N)])</f>
        <v>0</v>
      </c>
      <c r="J1" s="37">
        <f>COUNTA(Table2[Calculation Dependency])</f>
        <v>0</v>
      </c>
      <c r="K1" s="37">
        <f>COUNTA(Table2[Tag(s)])</f>
        <v>0</v>
      </c>
      <c r="L1" s="37">
        <f>COUNTA(Table2[Data Classification])</f>
        <v>0</v>
      </c>
      <c r="M1" s="37">
        <f>COUNTIF(Table2[Critical Data Element (CDE) (Y/N)],"Y")</f>
        <v>0</v>
      </c>
      <c r="N1" s="37">
        <f>COUNTIF(Table2[Personally Identifiable Information (PII) (Y/N)],"Y")</f>
        <v>0</v>
      </c>
      <c r="O1" s="37">
        <f>COUNTIF(Table2[Protected Health Information (PHI) (Y/N)],"Y")</f>
        <v>0</v>
      </c>
      <c r="P1" s="37">
        <f>COUNTIF(Table2[Ancillary Protected Health Information (A-PHI) (Y/N)],"Y")</f>
        <v>0</v>
      </c>
      <c r="Q1" s="38">
        <f>COUNTA(Table2[Data Quality Rule])</f>
        <v>0</v>
      </c>
    </row>
    <row r="2" spans="1:17" ht="54.75" customHeight="1" x14ac:dyDescent="0.25">
      <c r="A2" s="39" t="s">
        <v>132</v>
      </c>
      <c r="B2" s="39" t="s">
        <v>133</v>
      </c>
      <c r="C2" s="39" t="s">
        <v>134</v>
      </c>
      <c r="D2" s="39" t="s">
        <v>135</v>
      </c>
      <c r="E2" s="39" t="s">
        <v>136</v>
      </c>
      <c r="F2" s="40" t="s">
        <v>137</v>
      </c>
      <c r="G2" s="40" t="s">
        <v>7</v>
      </c>
      <c r="H2" s="40" t="s">
        <v>138</v>
      </c>
      <c r="I2" s="39" t="s">
        <v>139</v>
      </c>
      <c r="J2" s="39" t="s">
        <v>140</v>
      </c>
      <c r="K2" s="39" t="s">
        <v>15</v>
      </c>
      <c r="L2" s="39" t="s">
        <v>141</v>
      </c>
      <c r="M2" s="39" t="s">
        <v>142</v>
      </c>
      <c r="N2" s="39" t="s">
        <v>143</v>
      </c>
      <c r="O2" s="39" t="s">
        <v>144</v>
      </c>
      <c r="P2" s="39" t="s">
        <v>145</v>
      </c>
      <c r="Q2" s="40" t="s">
        <v>23</v>
      </c>
    </row>
    <row r="3" spans="1:17" x14ac:dyDescent="0.3">
      <c r="A3" s="42"/>
      <c r="B3" s="42" t="s">
        <v>146</v>
      </c>
      <c r="C3" s="67" t="s">
        <v>147</v>
      </c>
      <c r="D3" s="67" t="s">
        <v>148</v>
      </c>
      <c r="E3" s="67" t="s">
        <v>149</v>
      </c>
      <c r="F3" s="43"/>
      <c r="G3" s="44"/>
      <c r="H3" s="43" t="s">
        <v>150</v>
      </c>
      <c r="I3" s="43"/>
      <c r="J3" s="44"/>
      <c r="K3" s="44"/>
      <c r="L3" s="44"/>
      <c r="M3" s="43"/>
      <c r="N3" s="43"/>
      <c r="O3" s="43"/>
      <c r="P3" s="45"/>
      <c r="Q3" s="46"/>
    </row>
    <row r="4" spans="1:17" x14ac:dyDescent="0.3">
      <c r="A4" s="42"/>
      <c r="B4" s="42" t="s">
        <v>151</v>
      </c>
      <c r="C4" s="64" t="s">
        <v>147</v>
      </c>
      <c r="D4" s="67" t="s">
        <v>152</v>
      </c>
      <c r="E4" s="67" t="s">
        <v>153</v>
      </c>
      <c r="F4" s="43"/>
      <c r="G4" s="44"/>
      <c r="H4" s="43" t="s">
        <v>150</v>
      </c>
      <c r="I4" s="43"/>
      <c r="J4" s="44"/>
      <c r="K4" s="44"/>
      <c r="L4" s="44"/>
      <c r="M4" s="43"/>
      <c r="N4" s="43"/>
      <c r="O4" s="43"/>
      <c r="P4" s="45"/>
      <c r="Q4" s="46"/>
    </row>
    <row r="5" spans="1:17" x14ac:dyDescent="0.3">
      <c r="A5" s="42"/>
      <c r="B5" s="42"/>
      <c r="C5" s="64" t="s">
        <v>147</v>
      </c>
      <c r="D5" s="64" t="s">
        <v>154</v>
      </c>
      <c r="E5" s="67" t="s">
        <v>155</v>
      </c>
      <c r="F5" s="43"/>
      <c r="G5" s="44"/>
      <c r="H5" s="43" t="s">
        <v>150</v>
      </c>
      <c r="I5" s="43"/>
      <c r="J5" s="44"/>
      <c r="K5" s="44"/>
      <c r="L5" s="44"/>
      <c r="M5" s="43"/>
      <c r="N5" s="43"/>
      <c r="O5" s="43"/>
      <c r="P5" s="45"/>
      <c r="Q5" s="46"/>
    </row>
    <row r="6" spans="1:17" ht="27.75" customHeight="1" x14ac:dyDescent="0.3">
      <c r="A6" s="42"/>
      <c r="B6" s="42"/>
      <c r="C6" s="64" t="s">
        <v>147</v>
      </c>
      <c r="D6" s="64" t="s">
        <v>156</v>
      </c>
      <c r="E6" s="67" t="s">
        <v>155</v>
      </c>
      <c r="F6" s="43"/>
      <c r="G6" s="44"/>
      <c r="H6" s="43" t="s">
        <v>150</v>
      </c>
      <c r="I6" s="43"/>
      <c r="J6" s="44"/>
      <c r="K6" s="44"/>
      <c r="L6" s="44"/>
      <c r="M6" s="43"/>
      <c r="N6" s="43"/>
      <c r="O6" s="43"/>
      <c r="P6" s="45"/>
      <c r="Q6" s="46"/>
    </row>
    <row r="7" spans="1:17" ht="27.75" customHeight="1" x14ac:dyDescent="0.3">
      <c r="A7" s="42"/>
      <c r="B7" s="42"/>
      <c r="C7" s="67" t="s">
        <v>147</v>
      </c>
      <c r="D7" s="67" t="s">
        <v>157</v>
      </c>
      <c r="E7" s="67" t="s">
        <v>158</v>
      </c>
      <c r="F7" s="43"/>
      <c r="G7" s="44"/>
      <c r="H7" s="43" t="s">
        <v>150</v>
      </c>
      <c r="I7" s="43"/>
      <c r="J7" s="44"/>
      <c r="K7" s="44"/>
      <c r="L7" s="44"/>
      <c r="M7" s="43"/>
      <c r="N7" s="43"/>
      <c r="O7" s="43"/>
      <c r="P7" s="45"/>
      <c r="Q7" s="46"/>
    </row>
    <row r="8" spans="1:17" x14ac:dyDescent="0.3">
      <c r="A8" s="42"/>
      <c r="B8" s="42" t="s">
        <v>159</v>
      </c>
      <c r="C8" s="64" t="s">
        <v>147</v>
      </c>
      <c r="D8" s="67" t="s">
        <v>160</v>
      </c>
      <c r="E8" s="67" t="s">
        <v>158</v>
      </c>
      <c r="F8" s="43"/>
      <c r="G8" s="44"/>
      <c r="H8" s="43" t="s">
        <v>150</v>
      </c>
      <c r="I8" s="43"/>
      <c r="J8" s="44"/>
      <c r="K8" s="44"/>
      <c r="L8" s="44"/>
      <c r="M8" s="43"/>
      <c r="N8" s="43"/>
      <c r="O8" s="43"/>
      <c r="P8" s="45"/>
      <c r="Q8" s="46"/>
    </row>
    <row r="9" spans="1:17" x14ac:dyDescent="0.3">
      <c r="A9" s="42"/>
      <c r="B9" s="42"/>
      <c r="C9" s="64" t="s">
        <v>147</v>
      </c>
      <c r="D9" s="64" t="s">
        <v>161</v>
      </c>
      <c r="E9" s="67" t="s">
        <v>155</v>
      </c>
      <c r="F9" s="43"/>
      <c r="G9" s="44"/>
      <c r="H9" s="43" t="s">
        <v>150</v>
      </c>
      <c r="I9" s="43"/>
      <c r="J9" s="44"/>
      <c r="K9" s="44"/>
      <c r="L9" s="44"/>
      <c r="M9" s="43"/>
      <c r="N9" s="43"/>
      <c r="O9" s="43"/>
      <c r="P9" s="45"/>
      <c r="Q9" s="46"/>
    </row>
    <row r="10" spans="1:17" x14ac:dyDescent="0.3">
      <c r="A10" s="42"/>
      <c r="B10" s="42" t="s">
        <v>162</v>
      </c>
      <c r="C10" s="64" t="s">
        <v>147</v>
      </c>
      <c r="D10" s="72" t="s">
        <v>163</v>
      </c>
      <c r="E10" s="67" t="s">
        <v>158</v>
      </c>
      <c r="F10" s="43"/>
      <c r="G10" s="44"/>
      <c r="H10" s="43" t="s">
        <v>164</v>
      </c>
      <c r="I10" s="43"/>
      <c r="J10" s="44"/>
      <c r="K10" s="44"/>
      <c r="L10" s="44"/>
      <c r="M10" s="43"/>
      <c r="N10" s="43"/>
      <c r="O10" s="43"/>
      <c r="P10" s="45"/>
      <c r="Q10" s="46"/>
    </row>
    <row r="11" spans="1:17" x14ac:dyDescent="0.3">
      <c r="A11" s="42"/>
      <c r="B11" s="42"/>
      <c r="C11" s="64" t="s">
        <v>147</v>
      </c>
      <c r="D11" s="64" t="s">
        <v>165</v>
      </c>
      <c r="E11" s="67" t="s">
        <v>158</v>
      </c>
      <c r="F11" s="48"/>
      <c r="G11" s="42"/>
      <c r="H11" s="48" t="s">
        <v>150</v>
      </c>
      <c r="I11" s="48"/>
      <c r="J11" s="42"/>
      <c r="K11" s="42"/>
      <c r="L11" s="44"/>
      <c r="M11" s="43"/>
      <c r="N11" s="43"/>
      <c r="O11" s="43"/>
      <c r="P11" s="45"/>
      <c r="Q11" s="49"/>
    </row>
    <row r="12" spans="1:17" x14ac:dyDescent="0.3">
      <c r="A12" s="42"/>
      <c r="B12" s="42"/>
      <c r="C12" s="64" t="s">
        <v>166</v>
      </c>
      <c r="D12" s="64" t="s">
        <v>167</v>
      </c>
      <c r="E12" s="67" t="s">
        <v>155</v>
      </c>
      <c r="F12" s="43"/>
      <c r="G12" s="44"/>
      <c r="H12" s="48" t="s">
        <v>150</v>
      </c>
      <c r="I12" s="43"/>
      <c r="J12" s="44"/>
      <c r="K12" s="44"/>
      <c r="L12" s="44"/>
      <c r="M12" s="43"/>
      <c r="N12" s="43"/>
      <c r="O12" s="43"/>
      <c r="P12" s="45"/>
      <c r="Q12" s="46"/>
    </row>
    <row r="13" spans="1:17" x14ac:dyDescent="0.3">
      <c r="A13" s="42"/>
      <c r="B13" s="42"/>
      <c r="C13" s="64" t="s">
        <v>166</v>
      </c>
      <c r="D13" s="64" t="s">
        <v>157</v>
      </c>
      <c r="E13" s="67" t="s">
        <v>158</v>
      </c>
      <c r="F13" s="43"/>
      <c r="G13" s="44"/>
      <c r="H13" s="48" t="s">
        <v>150</v>
      </c>
      <c r="I13" s="43"/>
      <c r="J13" s="44"/>
      <c r="K13" s="44"/>
      <c r="L13" s="44"/>
      <c r="M13" s="43"/>
      <c r="N13" s="43"/>
      <c r="O13" s="43"/>
      <c r="P13" s="45"/>
      <c r="Q13" s="46"/>
    </row>
    <row r="14" spans="1:17" ht="33" x14ac:dyDescent="0.3">
      <c r="A14" s="42"/>
      <c r="B14" s="42" t="s">
        <v>168</v>
      </c>
      <c r="C14" s="64" t="s">
        <v>166</v>
      </c>
      <c r="D14" s="67" t="s">
        <v>160</v>
      </c>
      <c r="E14" s="67" t="s">
        <v>158</v>
      </c>
      <c r="F14" s="43"/>
      <c r="G14" s="44"/>
      <c r="H14" s="48" t="s">
        <v>150</v>
      </c>
      <c r="I14" s="43"/>
      <c r="J14" s="44"/>
      <c r="K14" s="44"/>
      <c r="L14" s="44"/>
      <c r="M14" s="43"/>
      <c r="N14" s="43"/>
      <c r="O14" s="43"/>
      <c r="P14" s="45"/>
      <c r="Q14" s="46"/>
    </row>
    <row r="15" spans="1:17" x14ac:dyDescent="0.3">
      <c r="A15" s="42"/>
      <c r="B15" s="42"/>
      <c r="C15" s="64" t="s">
        <v>166</v>
      </c>
      <c r="D15" s="67" t="s">
        <v>169</v>
      </c>
      <c r="E15" s="67" t="s">
        <v>155</v>
      </c>
      <c r="F15" s="43"/>
      <c r="G15" s="44"/>
      <c r="H15" s="43" t="s">
        <v>150</v>
      </c>
      <c r="I15" s="43"/>
      <c r="J15" s="44"/>
      <c r="K15" s="44"/>
      <c r="L15" s="44"/>
      <c r="M15" s="43"/>
      <c r="N15" s="43"/>
      <c r="O15" s="43"/>
      <c r="P15" s="45"/>
      <c r="Q15" s="46"/>
    </row>
    <row r="16" spans="1:17" x14ac:dyDescent="0.3">
      <c r="A16" s="42"/>
      <c r="B16" s="42"/>
      <c r="C16" s="64" t="s">
        <v>166</v>
      </c>
      <c r="D16" s="67" t="s">
        <v>161</v>
      </c>
      <c r="E16" s="67" t="s">
        <v>155</v>
      </c>
      <c r="F16" s="43"/>
      <c r="G16" s="44"/>
      <c r="H16" s="43" t="s">
        <v>150</v>
      </c>
      <c r="I16" s="43"/>
      <c r="J16" s="44"/>
      <c r="K16" s="44"/>
      <c r="L16" s="44"/>
      <c r="M16" s="43"/>
      <c r="N16" s="43"/>
      <c r="O16" s="43"/>
      <c r="P16" s="45"/>
      <c r="Q16" s="46"/>
    </row>
    <row r="17" spans="1:17" x14ac:dyDescent="0.3">
      <c r="A17" s="42"/>
      <c r="B17" s="42" t="s">
        <v>170</v>
      </c>
      <c r="C17" s="64" t="s">
        <v>166</v>
      </c>
      <c r="D17" s="72" t="s">
        <v>163</v>
      </c>
      <c r="E17" s="67" t="s">
        <v>158</v>
      </c>
      <c r="F17" s="48"/>
      <c r="G17" s="42"/>
      <c r="H17" s="43" t="s">
        <v>164</v>
      </c>
      <c r="I17" s="48"/>
      <c r="J17" s="42"/>
      <c r="K17" s="42"/>
      <c r="L17" s="44"/>
      <c r="M17" s="43"/>
      <c r="N17" s="43"/>
      <c r="O17" s="43"/>
      <c r="P17" s="45"/>
      <c r="Q17" s="49"/>
    </row>
    <row r="18" spans="1:17" x14ac:dyDescent="0.3">
      <c r="A18" s="42"/>
      <c r="B18" s="42"/>
      <c r="C18" s="67" t="s">
        <v>166</v>
      </c>
      <c r="D18" s="67" t="s">
        <v>165</v>
      </c>
      <c r="E18" s="67" t="s">
        <v>158</v>
      </c>
      <c r="F18" s="43"/>
      <c r="G18" s="44"/>
      <c r="H18" s="43" t="s">
        <v>150</v>
      </c>
      <c r="I18" s="43"/>
      <c r="J18" s="44"/>
      <c r="K18" s="44"/>
      <c r="L18" s="44"/>
      <c r="M18" s="43"/>
      <c r="N18" s="43"/>
      <c r="O18" s="43"/>
      <c r="P18" s="45"/>
      <c r="Q18" s="46"/>
    </row>
    <row r="19" spans="1:17" x14ac:dyDescent="0.3">
      <c r="A19" s="42"/>
      <c r="B19" s="42"/>
      <c r="C19" s="59" t="s">
        <v>171</v>
      </c>
      <c r="D19" s="59" t="s">
        <v>157</v>
      </c>
      <c r="E19" s="57" t="s">
        <v>158</v>
      </c>
      <c r="F19" s="43"/>
      <c r="G19" s="44"/>
      <c r="H19" s="43" t="s">
        <v>150</v>
      </c>
      <c r="I19" s="43"/>
      <c r="J19" s="44"/>
      <c r="K19" s="44"/>
      <c r="L19" s="44"/>
      <c r="M19" s="43"/>
      <c r="N19" s="43"/>
      <c r="O19" s="43"/>
      <c r="P19" s="45"/>
      <c r="Q19" s="46"/>
    </row>
    <row r="20" spans="1:17" x14ac:dyDescent="0.3">
      <c r="A20" s="42"/>
      <c r="B20" s="42"/>
      <c r="C20" s="58" t="s">
        <v>171</v>
      </c>
      <c r="D20" s="66" t="s">
        <v>161</v>
      </c>
      <c r="E20" s="66" t="s">
        <v>172</v>
      </c>
      <c r="F20" s="48"/>
      <c r="G20" s="42"/>
      <c r="H20" s="48" t="s">
        <v>150</v>
      </c>
      <c r="I20" s="48"/>
      <c r="J20" s="42"/>
      <c r="K20" s="42"/>
      <c r="L20" s="44"/>
      <c r="M20" s="43"/>
      <c r="N20" s="43"/>
      <c r="O20" s="43"/>
      <c r="P20" s="47"/>
      <c r="Q20" s="73"/>
    </row>
    <row r="21" spans="1:17" x14ac:dyDescent="0.3">
      <c r="A21" s="42"/>
      <c r="B21" s="42" t="s">
        <v>173</v>
      </c>
      <c r="C21" s="59" t="s">
        <v>171</v>
      </c>
      <c r="D21" s="61" t="s">
        <v>174</v>
      </c>
      <c r="E21" s="59" t="s">
        <v>153</v>
      </c>
      <c r="F21" s="48"/>
      <c r="G21" s="42"/>
      <c r="H21" s="48" t="s">
        <v>150</v>
      </c>
      <c r="I21" s="48"/>
      <c r="J21" s="42"/>
      <c r="K21" s="42"/>
      <c r="L21" s="44"/>
      <c r="M21" s="43"/>
      <c r="N21" s="43"/>
      <c r="O21" s="43"/>
      <c r="P21" s="45"/>
      <c r="Q21" s="49"/>
    </row>
    <row r="22" spans="1:17" x14ac:dyDescent="0.3">
      <c r="A22" s="42"/>
      <c r="B22" s="42"/>
      <c r="C22" s="59" t="s">
        <v>171</v>
      </c>
      <c r="D22" s="61" t="s">
        <v>165</v>
      </c>
      <c r="E22" s="57" t="s">
        <v>158</v>
      </c>
      <c r="F22" s="43"/>
      <c r="G22" s="44"/>
      <c r="H22" s="43" t="s">
        <v>150</v>
      </c>
      <c r="I22" s="43"/>
      <c r="J22" s="44"/>
      <c r="K22" s="44"/>
      <c r="L22" s="44"/>
      <c r="M22" s="43"/>
      <c r="N22" s="43"/>
      <c r="O22" s="43"/>
      <c r="P22" s="45"/>
      <c r="Q22" s="46"/>
    </row>
    <row r="23" spans="1:17" x14ac:dyDescent="0.3">
      <c r="A23" s="42"/>
      <c r="B23" s="42" t="s">
        <v>175</v>
      </c>
      <c r="C23" s="59" t="s">
        <v>176</v>
      </c>
      <c r="D23" s="59" t="s">
        <v>177</v>
      </c>
      <c r="E23" s="57" t="s">
        <v>178</v>
      </c>
      <c r="F23" s="43"/>
      <c r="G23" s="44"/>
      <c r="H23" s="43" t="s">
        <v>150</v>
      </c>
      <c r="I23" s="43"/>
      <c r="J23" s="44"/>
      <c r="K23" s="44"/>
      <c r="L23" s="44"/>
      <c r="M23" s="43"/>
      <c r="N23" s="43"/>
      <c r="O23" s="43"/>
      <c r="P23" s="45"/>
      <c r="Q23" s="46"/>
    </row>
    <row r="24" spans="1:17" x14ac:dyDescent="0.3">
      <c r="A24" s="42"/>
      <c r="B24" s="42" t="s">
        <v>179</v>
      </c>
      <c r="C24" s="59" t="s">
        <v>176</v>
      </c>
      <c r="D24" s="58" t="s">
        <v>180</v>
      </c>
      <c r="E24" s="60" t="s">
        <v>181</v>
      </c>
      <c r="F24" s="44"/>
      <c r="G24" s="44"/>
      <c r="H24" s="43" t="s">
        <v>150</v>
      </c>
      <c r="I24" s="44"/>
      <c r="J24" s="44"/>
      <c r="K24" s="44"/>
      <c r="L24" s="44"/>
      <c r="M24" s="43"/>
      <c r="N24" s="43"/>
      <c r="O24" s="43"/>
      <c r="P24" s="45"/>
      <c r="Q24" s="44"/>
    </row>
    <row r="25" spans="1:17" x14ac:dyDescent="0.3">
      <c r="A25" s="42"/>
      <c r="B25" s="42"/>
      <c r="C25" s="57" t="s">
        <v>176</v>
      </c>
      <c r="D25" s="57" t="s">
        <v>157</v>
      </c>
      <c r="E25" s="57" t="s">
        <v>158</v>
      </c>
      <c r="F25" s="43"/>
      <c r="G25" s="44"/>
      <c r="H25" s="43" t="s">
        <v>150</v>
      </c>
      <c r="I25" s="43"/>
      <c r="J25" s="44"/>
      <c r="K25" s="44"/>
      <c r="L25" s="44"/>
      <c r="M25" s="43"/>
      <c r="N25" s="43"/>
      <c r="O25" s="43"/>
      <c r="P25" s="45"/>
      <c r="Q25" s="44"/>
    </row>
    <row r="26" spans="1:17" x14ac:dyDescent="0.3">
      <c r="A26" s="42"/>
      <c r="B26" s="42" t="s">
        <v>182</v>
      </c>
      <c r="C26" s="59" t="s">
        <v>176</v>
      </c>
      <c r="D26" s="58" t="s">
        <v>183</v>
      </c>
      <c r="E26" s="57" t="s">
        <v>184</v>
      </c>
      <c r="F26" s="43"/>
      <c r="G26" s="44"/>
      <c r="H26" s="43" t="s">
        <v>164</v>
      </c>
      <c r="I26" s="43"/>
      <c r="J26" s="44"/>
      <c r="K26" s="44"/>
      <c r="L26" s="44"/>
      <c r="M26" s="43"/>
      <c r="N26" s="43"/>
      <c r="O26" s="43"/>
      <c r="P26" s="45"/>
      <c r="Q26" s="44"/>
    </row>
    <row r="27" spans="1:17" x14ac:dyDescent="0.3">
      <c r="A27" s="42"/>
      <c r="B27" s="42"/>
      <c r="C27" s="58" t="s">
        <v>176</v>
      </c>
      <c r="D27" s="66" t="s">
        <v>161</v>
      </c>
      <c r="E27" s="66" t="s">
        <v>155</v>
      </c>
      <c r="F27" s="48"/>
      <c r="G27" s="42"/>
      <c r="H27" s="48" t="s">
        <v>150</v>
      </c>
      <c r="I27" s="48"/>
      <c r="J27" s="42"/>
      <c r="K27" s="42"/>
      <c r="L27" s="44"/>
      <c r="M27" s="43"/>
      <c r="N27" s="43"/>
      <c r="O27" s="43"/>
      <c r="P27" s="45"/>
      <c r="Q27" s="42"/>
    </row>
    <row r="28" spans="1:17" x14ac:dyDescent="0.3">
      <c r="A28" s="42"/>
      <c r="B28" s="42"/>
      <c r="C28" s="59" t="s">
        <v>176</v>
      </c>
      <c r="D28" s="58" t="s">
        <v>163</v>
      </c>
      <c r="E28" s="67" t="s">
        <v>158</v>
      </c>
      <c r="F28" s="44"/>
      <c r="G28" s="44"/>
      <c r="H28" s="43" t="s">
        <v>150</v>
      </c>
      <c r="I28" s="44"/>
      <c r="J28" s="44"/>
      <c r="K28" s="44"/>
      <c r="L28" s="44"/>
      <c r="M28" s="43"/>
      <c r="N28" s="43"/>
      <c r="O28" s="43"/>
      <c r="P28" s="45"/>
      <c r="Q28" s="44"/>
    </row>
    <row r="29" spans="1:17" x14ac:dyDescent="0.3">
      <c r="A29" s="42"/>
      <c r="B29" s="42"/>
      <c r="C29" s="59" t="s">
        <v>176</v>
      </c>
      <c r="D29" s="59" t="s">
        <v>165</v>
      </c>
      <c r="E29" s="57" t="s">
        <v>158</v>
      </c>
      <c r="F29" s="48"/>
      <c r="G29" s="42"/>
      <c r="H29" s="48" t="s">
        <v>150</v>
      </c>
      <c r="I29" s="48"/>
      <c r="J29" s="42"/>
      <c r="K29" s="42"/>
      <c r="L29" s="44"/>
      <c r="M29" s="43"/>
      <c r="N29" s="43"/>
      <c r="O29" s="43"/>
      <c r="P29" s="45"/>
      <c r="Q29" s="42"/>
    </row>
    <row r="30" spans="1:17" x14ac:dyDescent="0.3">
      <c r="A30" s="42"/>
      <c r="B30" s="42"/>
      <c r="C30" s="58" t="s">
        <v>185</v>
      </c>
      <c r="D30" s="58" t="s">
        <v>186</v>
      </c>
      <c r="E30" s="60" t="s">
        <v>184</v>
      </c>
      <c r="F30" s="48"/>
      <c r="G30" s="42"/>
      <c r="H30" s="48" t="s">
        <v>164</v>
      </c>
      <c r="I30" s="48"/>
      <c r="J30" s="42"/>
      <c r="K30" s="42"/>
      <c r="L30" s="44"/>
      <c r="M30" s="43"/>
      <c r="N30" s="43"/>
      <c r="O30" s="43"/>
      <c r="P30" s="45"/>
      <c r="Q30" s="49"/>
    </row>
    <row r="31" spans="1:17" x14ac:dyDescent="0.3">
      <c r="A31" s="42"/>
      <c r="B31" s="42"/>
      <c r="C31" s="58" t="s">
        <v>185</v>
      </c>
      <c r="D31" s="59" t="s">
        <v>157</v>
      </c>
      <c r="E31" s="57" t="s">
        <v>158</v>
      </c>
      <c r="F31" s="43"/>
      <c r="G31" s="44"/>
      <c r="H31" s="43" t="s">
        <v>150</v>
      </c>
      <c r="I31" s="43"/>
      <c r="J31" s="44"/>
      <c r="K31" s="44"/>
      <c r="L31" s="44"/>
      <c r="M31" s="43"/>
      <c r="N31" s="43"/>
      <c r="O31" s="43"/>
      <c r="P31" s="45"/>
      <c r="Q31" s="46"/>
    </row>
    <row r="32" spans="1:17" x14ac:dyDescent="0.3">
      <c r="A32" s="42"/>
      <c r="B32" s="42"/>
      <c r="C32" s="58" t="s">
        <v>185</v>
      </c>
      <c r="D32" s="60" t="s">
        <v>187</v>
      </c>
      <c r="E32" s="60" t="s">
        <v>155</v>
      </c>
      <c r="F32" s="44"/>
      <c r="G32" s="44"/>
      <c r="H32" s="43" t="s">
        <v>150</v>
      </c>
      <c r="I32" s="44"/>
      <c r="J32" s="44"/>
      <c r="K32" s="44"/>
      <c r="L32" s="44"/>
      <c r="M32" s="43"/>
      <c r="N32" s="43"/>
      <c r="O32" s="43"/>
      <c r="P32" s="45"/>
      <c r="Q32" s="44"/>
    </row>
    <row r="33" spans="1:17" x14ac:dyDescent="0.3">
      <c r="A33" s="42"/>
      <c r="B33" s="42"/>
      <c r="C33" s="60" t="s">
        <v>185</v>
      </c>
      <c r="D33" s="60" t="s">
        <v>188</v>
      </c>
      <c r="E33" s="60" t="s">
        <v>184</v>
      </c>
      <c r="F33" s="43"/>
      <c r="G33" s="44"/>
      <c r="H33" s="43" t="s">
        <v>164</v>
      </c>
      <c r="I33" s="43"/>
      <c r="J33" s="44"/>
      <c r="K33" s="44"/>
      <c r="L33" s="44"/>
      <c r="M33" s="43"/>
      <c r="N33" s="43"/>
      <c r="O33" s="43"/>
      <c r="P33" s="45"/>
      <c r="Q33" s="46"/>
    </row>
    <row r="34" spans="1:17" x14ac:dyDescent="0.3">
      <c r="A34" s="42"/>
      <c r="B34" s="42"/>
      <c r="C34" s="66" t="s">
        <v>185</v>
      </c>
      <c r="D34" s="66" t="s">
        <v>189</v>
      </c>
      <c r="E34" s="66" t="s">
        <v>184</v>
      </c>
      <c r="F34" s="48"/>
      <c r="G34" s="42"/>
      <c r="H34" s="48" t="s">
        <v>164</v>
      </c>
      <c r="I34" s="48"/>
      <c r="J34" s="42"/>
      <c r="K34" s="42"/>
      <c r="L34" s="44"/>
      <c r="M34" s="43"/>
      <c r="N34" s="43"/>
      <c r="O34" s="43"/>
      <c r="P34" s="45"/>
      <c r="Q34" s="49"/>
    </row>
    <row r="35" spans="1:17" x14ac:dyDescent="0.3">
      <c r="A35" s="42"/>
      <c r="B35" s="42"/>
      <c r="C35" s="66" t="s">
        <v>185</v>
      </c>
      <c r="D35" s="58" t="s">
        <v>190</v>
      </c>
      <c r="E35" s="60" t="s">
        <v>184</v>
      </c>
      <c r="F35" s="43"/>
      <c r="G35" s="44"/>
      <c r="H35" s="43" t="s">
        <v>164</v>
      </c>
      <c r="I35" s="43"/>
      <c r="J35" s="44"/>
      <c r="K35" s="44"/>
      <c r="L35" s="44"/>
      <c r="M35" s="43"/>
      <c r="N35" s="43"/>
      <c r="O35" s="43"/>
      <c r="P35" s="45"/>
      <c r="Q35" s="46"/>
    </row>
    <row r="36" spans="1:17" x14ac:dyDescent="0.3">
      <c r="A36" s="42"/>
      <c r="B36" s="42"/>
      <c r="C36" s="66" t="s">
        <v>185</v>
      </c>
      <c r="D36" s="58" t="s">
        <v>161</v>
      </c>
      <c r="E36" s="58" t="s">
        <v>155</v>
      </c>
      <c r="F36" s="43"/>
      <c r="G36" s="44"/>
      <c r="H36" s="43" t="s">
        <v>150</v>
      </c>
      <c r="I36" s="43"/>
      <c r="J36" s="44"/>
      <c r="K36" s="44"/>
      <c r="L36" s="44"/>
      <c r="M36" s="43"/>
      <c r="N36" s="43"/>
      <c r="O36" s="43"/>
      <c r="P36" s="45"/>
      <c r="Q36" s="46"/>
    </row>
    <row r="37" spans="1:17" x14ac:dyDescent="0.3">
      <c r="A37" s="42"/>
      <c r="B37" s="42"/>
      <c r="C37" s="66" t="s">
        <v>185</v>
      </c>
      <c r="D37" s="66" t="s">
        <v>191</v>
      </c>
      <c r="E37" s="58" t="s">
        <v>184</v>
      </c>
      <c r="F37" s="48"/>
      <c r="G37" s="42"/>
      <c r="H37" s="48" t="s">
        <v>164</v>
      </c>
      <c r="I37" s="48"/>
      <c r="J37" s="42"/>
      <c r="K37" s="42"/>
      <c r="L37" s="44"/>
      <c r="M37" s="43"/>
      <c r="N37" s="43"/>
      <c r="O37" s="43"/>
      <c r="P37" s="45"/>
      <c r="Q37" s="49"/>
    </row>
    <row r="38" spans="1:17" x14ac:dyDescent="0.3">
      <c r="A38" s="42"/>
      <c r="B38" s="42"/>
      <c r="C38" s="66" t="s">
        <v>185</v>
      </c>
      <c r="D38" s="60" t="s">
        <v>192</v>
      </c>
      <c r="E38" s="60" t="s">
        <v>184</v>
      </c>
      <c r="F38" s="43"/>
      <c r="G38" s="44"/>
      <c r="H38" s="43" t="s">
        <v>164</v>
      </c>
      <c r="I38" s="43"/>
      <c r="J38" s="44"/>
      <c r="K38" s="44"/>
      <c r="L38" s="44"/>
      <c r="M38" s="43"/>
      <c r="N38" s="43"/>
      <c r="O38" s="43"/>
      <c r="P38" s="45"/>
      <c r="Q38" s="46"/>
    </row>
    <row r="39" spans="1:17" x14ac:dyDescent="0.3">
      <c r="A39" s="42"/>
      <c r="B39" s="42"/>
      <c r="C39" s="66" t="s">
        <v>185</v>
      </c>
      <c r="D39" s="59" t="s">
        <v>165</v>
      </c>
      <c r="E39" s="57" t="s">
        <v>158</v>
      </c>
      <c r="F39" s="43"/>
      <c r="G39" s="44"/>
      <c r="H39" s="43" t="s">
        <v>150</v>
      </c>
      <c r="I39" s="43"/>
      <c r="J39" s="44"/>
      <c r="K39" s="44"/>
      <c r="L39" s="44"/>
      <c r="M39" s="43"/>
      <c r="N39" s="43"/>
      <c r="O39" s="43"/>
      <c r="P39" s="45"/>
      <c r="Q39" s="46"/>
    </row>
    <row r="40" spans="1:17" x14ac:dyDescent="0.3">
      <c r="A40" s="42"/>
      <c r="B40" s="42" t="s">
        <v>193</v>
      </c>
      <c r="C40" s="61" t="s">
        <v>194</v>
      </c>
      <c r="D40" s="59" t="s">
        <v>195</v>
      </c>
      <c r="E40" s="57" t="s">
        <v>178</v>
      </c>
      <c r="F40" s="43"/>
      <c r="G40" s="44"/>
      <c r="H40" s="43" t="s">
        <v>150</v>
      </c>
      <c r="I40" s="43"/>
      <c r="J40" s="44"/>
      <c r="K40" s="44"/>
      <c r="L40" s="44"/>
      <c r="M40" s="43"/>
      <c r="N40" s="43"/>
      <c r="O40" s="43"/>
      <c r="P40" s="45"/>
      <c r="Q40" s="46"/>
    </row>
    <row r="41" spans="1:17" x14ac:dyDescent="0.3">
      <c r="A41" s="42"/>
      <c r="B41" s="42" t="s">
        <v>196</v>
      </c>
      <c r="C41" s="57" t="s">
        <v>194</v>
      </c>
      <c r="D41" s="60" t="s">
        <v>197</v>
      </c>
      <c r="E41" s="60" t="s">
        <v>153</v>
      </c>
      <c r="F41" s="44"/>
      <c r="G41" s="44"/>
      <c r="H41" s="43" t="s">
        <v>150</v>
      </c>
      <c r="I41" s="44"/>
      <c r="J41" s="44"/>
      <c r="K41" s="44"/>
      <c r="L41" s="44"/>
      <c r="M41" s="43"/>
      <c r="N41" s="43"/>
      <c r="O41" s="43"/>
      <c r="P41" s="45"/>
      <c r="Q41" s="44"/>
    </row>
    <row r="42" spans="1:17" x14ac:dyDescent="0.3">
      <c r="A42" s="42"/>
      <c r="B42" s="42"/>
      <c r="C42" s="59" t="s">
        <v>194</v>
      </c>
      <c r="D42" s="58" t="s">
        <v>156</v>
      </c>
      <c r="E42" s="60" t="s">
        <v>155</v>
      </c>
      <c r="F42" s="43"/>
      <c r="G42" s="44"/>
      <c r="H42" s="43" t="s">
        <v>150</v>
      </c>
      <c r="I42" s="43"/>
      <c r="J42" s="44"/>
      <c r="K42" s="44"/>
      <c r="L42" s="44"/>
      <c r="M42" s="43"/>
      <c r="N42" s="43"/>
      <c r="O42" s="43"/>
      <c r="P42" s="45"/>
      <c r="Q42" s="46"/>
    </row>
    <row r="43" spans="1:17" x14ac:dyDescent="0.3">
      <c r="A43" s="42"/>
      <c r="B43" s="42"/>
      <c r="C43" s="59" t="s">
        <v>194</v>
      </c>
      <c r="D43" s="61" t="s">
        <v>157</v>
      </c>
      <c r="E43" s="61" t="s">
        <v>158</v>
      </c>
      <c r="F43" s="48"/>
      <c r="G43" s="42"/>
      <c r="H43" s="48" t="s">
        <v>150</v>
      </c>
      <c r="I43" s="48"/>
      <c r="J43" s="42"/>
      <c r="K43" s="42"/>
      <c r="L43" s="44"/>
      <c r="M43" s="43"/>
      <c r="N43" s="43"/>
      <c r="O43" s="43"/>
      <c r="P43" s="45"/>
      <c r="Q43" s="49"/>
    </row>
    <row r="44" spans="1:17" x14ac:dyDescent="0.3">
      <c r="A44" s="42"/>
      <c r="B44" s="42" t="s">
        <v>198</v>
      </c>
      <c r="C44" s="59" t="s">
        <v>194</v>
      </c>
      <c r="D44" s="60" t="s">
        <v>160</v>
      </c>
      <c r="E44" s="60" t="s">
        <v>158</v>
      </c>
      <c r="F44" s="43"/>
      <c r="G44" s="44"/>
      <c r="H44" s="48" t="s">
        <v>150</v>
      </c>
      <c r="I44" s="43"/>
      <c r="J44" s="44"/>
      <c r="K44" s="44"/>
      <c r="L44" s="44"/>
      <c r="M44" s="43"/>
      <c r="N44" s="43"/>
      <c r="O44" s="43"/>
      <c r="P44" s="45"/>
      <c r="Q44" s="44"/>
    </row>
    <row r="45" spans="1:17" x14ac:dyDescent="0.3">
      <c r="A45" s="42"/>
      <c r="B45" s="42" t="s">
        <v>199</v>
      </c>
      <c r="C45" s="59" t="s">
        <v>194</v>
      </c>
      <c r="D45" s="58" t="s">
        <v>200</v>
      </c>
      <c r="E45" s="60" t="s">
        <v>201</v>
      </c>
      <c r="F45" s="43"/>
      <c r="G45" s="44"/>
      <c r="H45" s="43" t="s">
        <v>150</v>
      </c>
      <c r="I45" s="43"/>
      <c r="J45" s="44"/>
      <c r="K45" s="44"/>
      <c r="L45" s="44"/>
      <c r="M45" s="43"/>
      <c r="N45" s="43"/>
      <c r="O45" s="43"/>
      <c r="P45" s="45"/>
      <c r="Q45" s="44"/>
    </row>
    <row r="46" spans="1:17" x14ac:dyDescent="0.3">
      <c r="A46" s="42"/>
      <c r="B46" s="42"/>
      <c r="C46" s="58" t="s">
        <v>194</v>
      </c>
      <c r="D46" s="66" t="s">
        <v>161</v>
      </c>
      <c r="E46" s="66" t="s">
        <v>155</v>
      </c>
      <c r="F46" s="48"/>
      <c r="G46" s="42"/>
      <c r="H46" s="48" t="s">
        <v>150</v>
      </c>
      <c r="I46" s="48"/>
      <c r="J46" s="42"/>
      <c r="K46" s="42"/>
      <c r="L46" s="44"/>
      <c r="M46" s="43"/>
      <c r="N46" s="43"/>
      <c r="O46" s="43"/>
      <c r="P46" s="45"/>
      <c r="Q46" s="42"/>
    </row>
    <row r="47" spans="1:17" x14ac:dyDescent="0.3">
      <c r="A47" s="42"/>
      <c r="B47" s="42"/>
      <c r="C47" s="59" t="s">
        <v>194</v>
      </c>
      <c r="D47" s="60" t="s">
        <v>202</v>
      </c>
      <c r="E47" s="60" t="s">
        <v>172</v>
      </c>
      <c r="F47" s="43"/>
      <c r="G47" s="44"/>
      <c r="H47" s="43" t="s">
        <v>164</v>
      </c>
      <c r="I47" s="43"/>
      <c r="J47" s="44"/>
      <c r="K47" s="44"/>
      <c r="L47" s="44"/>
      <c r="M47" s="43"/>
      <c r="N47" s="43"/>
      <c r="O47" s="43"/>
      <c r="P47" s="45"/>
      <c r="Q47" s="46"/>
    </row>
    <row r="48" spans="1:17" x14ac:dyDescent="0.3">
      <c r="A48" s="42"/>
      <c r="B48" s="42"/>
      <c r="C48" s="59" t="s">
        <v>194</v>
      </c>
      <c r="D48" s="60" t="s">
        <v>203</v>
      </c>
      <c r="E48" s="60" t="s">
        <v>155</v>
      </c>
      <c r="F48" s="44"/>
      <c r="G48" s="44"/>
      <c r="H48" s="43" t="s">
        <v>164</v>
      </c>
      <c r="I48" s="43"/>
      <c r="J48" s="44"/>
      <c r="K48" s="44"/>
      <c r="L48" s="44"/>
      <c r="M48" s="43"/>
      <c r="N48" s="43"/>
      <c r="O48" s="43"/>
      <c r="P48" s="45"/>
      <c r="Q48" s="44"/>
    </row>
    <row r="49" spans="1:17" ht="23.25" customHeight="1" x14ac:dyDescent="0.3">
      <c r="A49" s="42"/>
      <c r="B49" s="42" t="s">
        <v>204</v>
      </c>
      <c r="C49" s="59" t="s">
        <v>194</v>
      </c>
      <c r="D49" s="59" t="s">
        <v>163</v>
      </c>
      <c r="E49" s="57" t="s">
        <v>158</v>
      </c>
      <c r="F49" s="43"/>
      <c r="G49" s="44"/>
      <c r="H49" s="43" t="s">
        <v>150</v>
      </c>
      <c r="I49" s="43"/>
      <c r="J49" s="44"/>
      <c r="K49" s="44"/>
      <c r="L49" s="44"/>
      <c r="M49" s="43"/>
      <c r="N49" s="43"/>
      <c r="O49" s="43"/>
      <c r="P49" s="45"/>
      <c r="Q49" s="46"/>
    </row>
    <row r="50" spans="1:17" x14ac:dyDescent="0.3">
      <c r="A50" s="42"/>
      <c r="B50" s="42"/>
      <c r="C50" s="59" t="s">
        <v>194</v>
      </c>
      <c r="D50" s="59" t="s">
        <v>165</v>
      </c>
      <c r="E50" s="57" t="s">
        <v>158</v>
      </c>
      <c r="F50" s="43"/>
      <c r="G50" s="44"/>
      <c r="H50" s="43" t="s">
        <v>150</v>
      </c>
      <c r="I50" s="43"/>
      <c r="J50" s="44"/>
      <c r="K50" s="44"/>
      <c r="L50" s="44"/>
      <c r="M50" s="43"/>
      <c r="N50" s="43"/>
      <c r="O50" s="43"/>
      <c r="P50" s="45"/>
      <c r="Q50" s="46"/>
    </row>
    <row r="51" spans="1:17" x14ac:dyDescent="0.3">
      <c r="A51" s="42"/>
      <c r="B51" s="42"/>
      <c r="C51" s="57" t="s">
        <v>205</v>
      </c>
      <c r="D51" s="60" t="s">
        <v>206</v>
      </c>
      <c r="E51" s="60" t="s">
        <v>155</v>
      </c>
      <c r="F51" s="43"/>
      <c r="G51" s="44"/>
      <c r="H51" s="43" t="s">
        <v>150</v>
      </c>
      <c r="I51" s="43"/>
      <c r="J51" s="44"/>
      <c r="K51" s="44"/>
      <c r="L51" s="44"/>
      <c r="M51" s="43"/>
      <c r="N51" s="43"/>
      <c r="O51" s="43"/>
      <c r="P51" s="45"/>
      <c r="Q51" s="46"/>
    </row>
    <row r="52" spans="1:17" x14ac:dyDescent="0.3">
      <c r="A52" s="42"/>
      <c r="B52" s="42"/>
      <c r="C52" s="62" t="s">
        <v>205</v>
      </c>
      <c r="D52" s="63" t="s">
        <v>156</v>
      </c>
      <c r="E52" s="63" t="s">
        <v>155</v>
      </c>
      <c r="F52" s="42"/>
      <c r="G52" s="42"/>
      <c r="H52" s="48" t="s">
        <v>150</v>
      </c>
      <c r="I52" s="42"/>
      <c r="J52" s="42"/>
      <c r="K52" s="42"/>
      <c r="L52" s="44"/>
      <c r="M52" s="43"/>
      <c r="N52" s="43"/>
      <c r="O52" s="43"/>
      <c r="P52" s="45"/>
      <c r="Q52" s="42"/>
    </row>
    <row r="53" spans="1:17" x14ac:dyDescent="0.3">
      <c r="A53" s="51"/>
      <c r="B53" s="51"/>
      <c r="C53" s="62" t="s">
        <v>207</v>
      </c>
      <c r="D53" s="70" t="s">
        <v>208</v>
      </c>
      <c r="E53" s="70" t="s">
        <v>172</v>
      </c>
      <c r="F53" s="43"/>
      <c r="G53" s="44"/>
      <c r="H53" s="43" t="s">
        <v>150</v>
      </c>
      <c r="I53" s="43"/>
      <c r="J53" s="44"/>
      <c r="K53" s="44"/>
      <c r="L53" s="44"/>
      <c r="M53" s="43"/>
      <c r="N53" s="43"/>
      <c r="O53" s="43"/>
      <c r="P53" s="45"/>
      <c r="Q53" s="46"/>
    </row>
    <row r="54" spans="1:17" x14ac:dyDescent="0.3">
      <c r="A54" s="50"/>
      <c r="B54" s="50" t="s">
        <v>209</v>
      </c>
      <c r="C54" s="62" t="s">
        <v>207</v>
      </c>
      <c r="D54" s="71" t="s">
        <v>210</v>
      </c>
      <c r="E54" s="68" t="s">
        <v>184</v>
      </c>
      <c r="F54" s="43"/>
      <c r="G54" s="44"/>
      <c r="H54" s="43" t="s">
        <v>164</v>
      </c>
      <c r="I54" s="43"/>
      <c r="J54" s="44"/>
      <c r="K54" s="44"/>
      <c r="L54" s="44"/>
      <c r="M54" s="43"/>
      <c r="N54" s="43"/>
      <c r="O54" s="43"/>
      <c r="P54" s="45"/>
      <c r="Q54" s="46"/>
    </row>
    <row r="55" spans="1:17" x14ac:dyDescent="0.3">
      <c r="A55" s="41"/>
      <c r="B55" s="41" t="s">
        <v>211</v>
      </c>
      <c r="C55" s="62" t="s">
        <v>207</v>
      </c>
      <c r="D55" s="59" t="s">
        <v>212</v>
      </c>
      <c r="E55" s="70" t="s">
        <v>213</v>
      </c>
      <c r="F55" s="48"/>
      <c r="G55" s="44"/>
      <c r="H55" s="43" t="s">
        <v>150</v>
      </c>
      <c r="I55" s="43"/>
      <c r="J55" s="44"/>
      <c r="K55" s="44"/>
      <c r="L55" s="44"/>
      <c r="M55" s="43"/>
      <c r="N55" s="43"/>
      <c r="O55" s="43"/>
      <c r="P55" s="45"/>
      <c r="Q55" s="46"/>
    </row>
    <row r="56" spans="1:17" x14ac:dyDescent="0.3">
      <c r="A56" s="41"/>
      <c r="B56" s="41"/>
      <c r="C56" s="62" t="s">
        <v>207</v>
      </c>
      <c r="D56" s="59" t="s">
        <v>157</v>
      </c>
      <c r="E56" s="70" t="s">
        <v>158</v>
      </c>
      <c r="F56" s="48"/>
      <c r="G56" s="44"/>
      <c r="H56" s="43" t="s">
        <v>150</v>
      </c>
      <c r="I56" s="43"/>
      <c r="J56" s="44"/>
      <c r="K56" s="44"/>
      <c r="L56" s="44"/>
      <c r="M56" s="43"/>
      <c r="N56" s="43"/>
      <c r="O56" s="43"/>
      <c r="P56" s="45"/>
      <c r="Q56" s="46"/>
    </row>
    <row r="57" spans="1:17" x14ac:dyDescent="0.3">
      <c r="A57" s="41"/>
      <c r="B57" s="41" t="s">
        <v>214</v>
      </c>
      <c r="C57" s="62" t="s">
        <v>207</v>
      </c>
      <c r="D57" s="58" t="s">
        <v>183</v>
      </c>
      <c r="E57" s="70" t="s">
        <v>184</v>
      </c>
      <c r="F57" s="48"/>
      <c r="G57" s="44"/>
      <c r="H57" s="43" t="s">
        <v>164</v>
      </c>
      <c r="I57" s="43"/>
      <c r="J57" s="44"/>
      <c r="K57" s="44"/>
      <c r="L57" s="44"/>
      <c r="M57" s="43"/>
      <c r="N57" s="43"/>
      <c r="O57" s="43"/>
      <c r="P57" s="45"/>
      <c r="Q57" s="46"/>
    </row>
    <row r="58" spans="1:17" x14ac:dyDescent="0.3">
      <c r="A58" s="41"/>
      <c r="B58" s="41" t="s">
        <v>215</v>
      </c>
      <c r="C58" s="62" t="s">
        <v>207</v>
      </c>
      <c r="D58" s="59" t="s">
        <v>216</v>
      </c>
      <c r="E58" s="57" t="s">
        <v>158</v>
      </c>
      <c r="F58" s="42"/>
      <c r="G58" s="44"/>
      <c r="H58" s="43" t="s">
        <v>164</v>
      </c>
      <c r="I58" s="44"/>
      <c r="J58" s="44"/>
      <c r="K58" s="44"/>
      <c r="L58" s="44"/>
      <c r="M58" s="43"/>
      <c r="N58" s="43"/>
      <c r="O58" s="43"/>
      <c r="P58" s="45"/>
      <c r="Q58" s="44"/>
    </row>
    <row r="59" spans="1:17" x14ac:dyDescent="0.3">
      <c r="A59" s="41"/>
      <c r="B59" s="41"/>
      <c r="C59" s="63" t="s">
        <v>207</v>
      </c>
      <c r="D59" s="58" t="s">
        <v>161</v>
      </c>
      <c r="E59" s="60" t="s">
        <v>155</v>
      </c>
      <c r="F59" s="48"/>
      <c r="G59" s="44"/>
      <c r="H59" s="43" t="s">
        <v>150</v>
      </c>
      <c r="I59" s="43"/>
      <c r="J59" s="44"/>
      <c r="K59" s="44"/>
      <c r="L59" s="44"/>
      <c r="M59" s="43"/>
      <c r="N59" s="43"/>
      <c r="O59" s="43"/>
      <c r="P59" s="45"/>
      <c r="Q59" s="46"/>
    </row>
    <row r="60" spans="1:17" x14ac:dyDescent="0.3">
      <c r="A60" s="41"/>
      <c r="B60" s="41"/>
      <c r="C60" s="59" t="s">
        <v>207</v>
      </c>
      <c r="D60" s="58" t="s">
        <v>202</v>
      </c>
      <c r="E60" s="59" t="s">
        <v>172</v>
      </c>
      <c r="F60" s="48"/>
      <c r="G60" s="44"/>
      <c r="H60" s="43" t="s">
        <v>150</v>
      </c>
      <c r="I60" s="43"/>
      <c r="J60" s="44"/>
      <c r="K60" s="44"/>
      <c r="L60" s="44"/>
      <c r="M60" s="43"/>
      <c r="N60" s="43"/>
      <c r="O60" s="43"/>
      <c r="P60" s="45"/>
      <c r="Q60" s="46"/>
    </row>
    <row r="61" spans="1:17" x14ac:dyDescent="0.3">
      <c r="A61" s="41"/>
      <c r="B61" s="41"/>
      <c r="C61" s="59" t="s">
        <v>207</v>
      </c>
      <c r="D61" s="59" t="s">
        <v>165</v>
      </c>
      <c r="E61" s="59" t="s">
        <v>158</v>
      </c>
      <c r="F61" s="48"/>
      <c r="G61" s="44"/>
      <c r="H61" s="43" t="s">
        <v>150</v>
      </c>
      <c r="I61" s="43"/>
      <c r="J61" s="44"/>
      <c r="K61" s="44"/>
      <c r="L61" s="44"/>
      <c r="M61" s="43"/>
      <c r="N61" s="43"/>
      <c r="O61" s="43"/>
      <c r="P61" s="45"/>
      <c r="Q61" s="46"/>
    </row>
    <row r="62" spans="1:17" x14ac:dyDescent="0.3">
      <c r="A62" s="41"/>
      <c r="B62" s="41"/>
      <c r="C62" s="59" t="s">
        <v>217</v>
      </c>
      <c r="D62" s="58" t="s">
        <v>156</v>
      </c>
      <c r="E62" s="58" t="s">
        <v>155</v>
      </c>
      <c r="F62" s="48"/>
      <c r="G62" s="44"/>
      <c r="H62" s="43" t="s">
        <v>150</v>
      </c>
      <c r="I62" s="43"/>
      <c r="J62" s="44"/>
      <c r="K62" s="44"/>
      <c r="L62" s="44"/>
      <c r="M62" s="43"/>
      <c r="N62" s="43"/>
      <c r="O62" s="43"/>
      <c r="P62" s="45"/>
      <c r="Q62" s="46"/>
    </row>
    <row r="63" spans="1:17" x14ac:dyDescent="0.3">
      <c r="A63" s="41"/>
      <c r="B63" s="41"/>
      <c r="C63" s="59" t="s">
        <v>217</v>
      </c>
      <c r="D63" s="59" t="s">
        <v>203</v>
      </c>
      <c r="E63" s="59" t="s">
        <v>155</v>
      </c>
      <c r="F63" s="48"/>
      <c r="G63" s="44"/>
      <c r="H63" s="43" t="s">
        <v>150</v>
      </c>
      <c r="I63" s="43"/>
      <c r="J63" s="44"/>
      <c r="K63" s="44"/>
      <c r="L63" s="44"/>
      <c r="M63" s="43"/>
      <c r="N63" s="43"/>
      <c r="O63" s="43"/>
      <c r="P63" s="45"/>
      <c r="Q63" s="46"/>
    </row>
    <row r="64" spans="1:17" x14ac:dyDescent="0.3">
      <c r="A64" s="41"/>
      <c r="B64" s="41"/>
      <c r="C64" s="58" t="s">
        <v>218</v>
      </c>
      <c r="D64" s="58" t="s">
        <v>156</v>
      </c>
      <c r="E64" s="58" t="s">
        <v>155</v>
      </c>
      <c r="F64" s="48"/>
      <c r="G64" s="44"/>
      <c r="H64" s="43" t="s">
        <v>150</v>
      </c>
      <c r="I64" s="43"/>
      <c r="J64" s="44"/>
      <c r="K64" s="44"/>
      <c r="L64" s="44"/>
      <c r="M64" s="43"/>
      <c r="N64" s="43"/>
      <c r="O64" s="43"/>
      <c r="P64" s="45"/>
      <c r="Q64" s="44"/>
    </row>
    <row r="65" spans="1:17" x14ac:dyDescent="0.3">
      <c r="A65" s="41"/>
      <c r="B65" s="41"/>
      <c r="C65" s="58" t="s">
        <v>218</v>
      </c>
      <c r="D65" s="58" t="s">
        <v>157</v>
      </c>
      <c r="E65" s="58" t="s">
        <v>158</v>
      </c>
      <c r="F65" s="48"/>
      <c r="G65" s="44"/>
      <c r="H65" s="43" t="s">
        <v>150</v>
      </c>
      <c r="I65" s="43"/>
      <c r="J65" s="44"/>
      <c r="K65" s="44"/>
      <c r="L65" s="44"/>
      <c r="M65" s="43"/>
      <c r="N65" s="43"/>
      <c r="O65" s="43"/>
      <c r="P65" s="45"/>
      <c r="Q65" s="44"/>
    </row>
    <row r="66" spans="1:17" x14ac:dyDescent="0.3">
      <c r="A66" s="51"/>
      <c r="B66" s="51"/>
      <c r="C66" s="58" t="s">
        <v>218</v>
      </c>
      <c r="D66" s="58" t="s">
        <v>219</v>
      </c>
      <c r="E66" s="58" t="s">
        <v>184</v>
      </c>
      <c r="F66" s="43"/>
      <c r="G66" s="44"/>
      <c r="H66" s="43" t="s">
        <v>164</v>
      </c>
      <c r="I66" s="43"/>
      <c r="J66" s="44"/>
      <c r="K66" s="44"/>
      <c r="L66" s="44"/>
      <c r="M66" s="43"/>
      <c r="N66" s="43"/>
      <c r="O66" s="43"/>
      <c r="P66" s="45"/>
      <c r="Q66" s="44"/>
    </row>
    <row r="67" spans="1:17" x14ac:dyDescent="0.3">
      <c r="A67" s="42"/>
      <c r="B67" s="42"/>
      <c r="C67" s="58" t="s">
        <v>218</v>
      </c>
      <c r="D67" s="58" t="s">
        <v>161</v>
      </c>
      <c r="E67" s="58" t="s">
        <v>155</v>
      </c>
      <c r="F67" s="43"/>
      <c r="G67" s="44"/>
      <c r="H67" s="43" t="s">
        <v>150</v>
      </c>
      <c r="I67" s="43"/>
      <c r="J67" s="44"/>
      <c r="K67" s="44"/>
      <c r="L67" s="44"/>
      <c r="M67" s="43"/>
      <c r="N67" s="43"/>
      <c r="O67" s="43"/>
      <c r="P67" s="45"/>
      <c r="Q67" s="44"/>
    </row>
    <row r="68" spans="1:17" x14ac:dyDescent="0.3">
      <c r="A68" s="42"/>
      <c r="B68" s="42"/>
      <c r="C68" s="58" t="s">
        <v>218</v>
      </c>
      <c r="D68" s="58" t="s">
        <v>220</v>
      </c>
      <c r="E68" s="58" t="s">
        <v>221</v>
      </c>
      <c r="F68" s="43"/>
      <c r="G68" s="44"/>
      <c r="H68" s="43" t="s">
        <v>150</v>
      </c>
      <c r="I68" s="43"/>
      <c r="J68" s="44"/>
      <c r="K68" s="44"/>
      <c r="L68" s="44"/>
      <c r="M68" s="43"/>
      <c r="N68" s="43"/>
      <c r="O68" s="43"/>
      <c r="P68" s="45"/>
      <c r="Q68" s="44"/>
    </row>
    <row r="69" spans="1:17" x14ac:dyDescent="0.3">
      <c r="A69" s="42"/>
      <c r="B69" s="42"/>
      <c r="C69" s="58" t="s">
        <v>218</v>
      </c>
      <c r="D69" s="58" t="s">
        <v>222</v>
      </c>
      <c r="E69" s="58" t="s">
        <v>181</v>
      </c>
      <c r="F69" s="43"/>
      <c r="G69" s="44"/>
      <c r="H69" s="43" t="s">
        <v>150</v>
      </c>
      <c r="I69" s="43"/>
      <c r="J69" s="44"/>
      <c r="K69" s="44"/>
      <c r="L69" s="44"/>
      <c r="M69" s="43"/>
      <c r="N69" s="43"/>
      <c r="O69" s="43"/>
      <c r="P69" s="45"/>
      <c r="Q69" s="44"/>
    </row>
    <row r="70" spans="1:17" x14ac:dyDescent="0.3">
      <c r="A70" s="42"/>
      <c r="B70" s="42"/>
      <c r="C70" s="58" t="s">
        <v>218</v>
      </c>
      <c r="D70" s="58" t="s">
        <v>223</v>
      </c>
      <c r="E70" s="58" t="s">
        <v>181</v>
      </c>
      <c r="F70" s="43"/>
      <c r="G70" s="44"/>
      <c r="H70" s="43" t="s">
        <v>150</v>
      </c>
      <c r="I70" s="43"/>
      <c r="J70" s="44"/>
      <c r="K70" s="44"/>
      <c r="L70" s="44"/>
      <c r="M70" s="43"/>
      <c r="N70" s="43"/>
      <c r="O70" s="43"/>
      <c r="P70" s="45"/>
      <c r="Q70" s="44"/>
    </row>
    <row r="71" spans="1:17" x14ac:dyDescent="0.3">
      <c r="A71" s="42"/>
      <c r="B71" s="42"/>
      <c r="C71" s="58" t="s">
        <v>218</v>
      </c>
      <c r="D71" s="58" t="s">
        <v>165</v>
      </c>
      <c r="E71" s="58" t="s">
        <v>158</v>
      </c>
      <c r="F71" s="43"/>
      <c r="G71" s="44"/>
      <c r="H71" s="43" t="s">
        <v>150</v>
      </c>
      <c r="I71" s="43"/>
      <c r="J71" s="44"/>
      <c r="K71" s="44"/>
      <c r="L71" s="44"/>
      <c r="M71" s="43"/>
      <c r="N71" s="43"/>
      <c r="O71" s="43"/>
      <c r="P71" s="45"/>
      <c r="Q71" s="44"/>
    </row>
    <row r="72" spans="1:17" x14ac:dyDescent="0.3">
      <c r="A72" s="42"/>
      <c r="B72" s="42"/>
      <c r="C72" s="65" t="s">
        <v>224</v>
      </c>
      <c r="D72" s="65" t="s">
        <v>154</v>
      </c>
      <c r="E72" s="65" t="s">
        <v>155</v>
      </c>
      <c r="F72" s="43"/>
      <c r="G72" s="44"/>
      <c r="H72" s="43" t="s">
        <v>150</v>
      </c>
      <c r="I72" s="43"/>
      <c r="J72" s="44"/>
      <c r="K72" s="44"/>
      <c r="L72" s="44"/>
      <c r="M72" s="43"/>
      <c r="N72" s="43"/>
      <c r="O72" s="43"/>
      <c r="P72" s="45"/>
      <c r="Q72" s="44"/>
    </row>
    <row r="73" spans="1:17" x14ac:dyDescent="0.3">
      <c r="A73" s="42"/>
      <c r="B73" s="42"/>
      <c r="C73" s="65" t="s">
        <v>224</v>
      </c>
      <c r="D73" s="65" t="s">
        <v>156</v>
      </c>
      <c r="E73" s="65" t="s">
        <v>155</v>
      </c>
      <c r="F73" s="43"/>
      <c r="G73" s="44"/>
      <c r="H73" s="43" t="s">
        <v>150</v>
      </c>
      <c r="I73" s="43"/>
      <c r="J73" s="44"/>
      <c r="K73" s="44"/>
      <c r="L73" s="44"/>
      <c r="M73" s="43"/>
      <c r="N73" s="43"/>
      <c r="O73" s="43"/>
      <c r="P73" s="45"/>
      <c r="Q73" s="44"/>
    </row>
    <row r="74" spans="1:17" x14ac:dyDescent="0.3">
      <c r="A74" s="42"/>
      <c r="B74" s="42"/>
      <c r="C74" s="65" t="s">
        <v>224</v>
      </c>
      <c r="D74" s="65" t="s">
        <v>157</v>
      </c>
      <c r="E74" s="65" t="s">
        <v>158</v>
      </c>
      <c r="F74" s="43"/>
      <c r="G74" s="44"/>
      <c r="H74" s="43" t="s">
        <v>150</v>
      </c>
      <c r="I74" s="43"/>
      <c r="J74" s="44"/>
      <c r="K74" s="44"/>
      <c r="L74" s="44"/>
      <c r="M74" s="43"/>
      <c r="N74" s="43"/>
      <c r="O74" s="43"/>
      <c r="P74" s="45"/>
      <c r="Q74" s="44"/>
    </row>
    <row r="75" spans="1:17" x14ac:dyDescent="0.3">
      <c r="A75" s="42"/>
      <c r="B75" s="42" t="s">
        <v>225</v>
      </c>
      <c r="C75" s="65" t="s">
        <v>224</v>
      </c>
      <c r="D75" s="65" t="s">
        <v>160</v>
      </c>
      <c r="E75" s="65" t="s">
        <v>158</v>
      </c>
      <c r="F75" s="43"/>
      <c r="G75" s="44"/>
      <c r="H75" s="43" t="s">
        <v>150</v>
      </c>
      <c r="I75" s="43"/>
      <c r="J75" s="44"/>
      <c r="K75" s="44"/>
      <c r="L75" s="44"/>
      <c r="M75" s="43"/>
      <c r="N75" s="43"/>
      <c r="O75" s="43"/>
      <c r="P75" s="45"/>
      <c r="Q75" s="44"/>
    </row>
    <row r="76" spans="1:17" x14ac:dyDescent="0.3">
      <c r="A76" s="42"/>
      <c r="B76" s="42"/>
      <c r="C76" s="65" t="s">
        <v>224</v>
      </c>
      <c r="D76" s="65" t="s">
        <v>226</v>
      </c>
      <c r="E76" s="65" t="s">
        <v>227</v>
      </c>
      <c r="F76" s="43"/>
      <c r="G76" s="44"/>
      <c r="H76" s="43" t="s">
        <v>150</v>
      </c>
      <c r="I76" s="43"/>
      <c r="J76" s="44"/>
      <c r="K76" s="44"/>
      <c r="L76" s="44"/>
      <c r="M76" s="43"/>
      <c r="N76" s="43"/>
      <c r="O76" s="43"/>
      <c r="P76" s="45"/>
      <c r="Q76" s="46"/>
    </row>
    <row r="77" spans="1:17" x14ac:dyDescent="0.3">
      <c r="A77" s="50"/>
      <c r="B77" s="50"/>
      <c r="C77" s="65" t="s">
        <v>224</v>
      </c>
      <c r="D77" s="65" t="s">
        <v>228</v>
      </c>
      <c r="E77" s="65" t="s">
        <v>181</v>
      </c>
      <c r="F77" s="53"/>
      <c r="G77" s="52"/>
      <c r="H77" s="43" t="s">
        <v>150</v>
      </c>
      <c r="I77" s="53"/>
      <c r="J77" s="52"/>
      <c r="K77" s="52"/>
      <c r="L77" s="52"/>
      <c r="M77" s="53"/>
      <c r="N77" s="53"/>
      <c r="O77" s="53"/>
      <c r="P77" s="54"/>
      <c r="Q77" s="52"/>
    </row>
    <row r="78" spans="1:17" x14ac:dyDescent="0.3">
      <c r="A78" s="42"/>
      <c r="B78" s="42"/>
      <c r="C78" s="65" t="s">
        <v>224</v>
      </c>
      <c r="D78" s="65" t="s">
        <v>161</v>
      </c>
      <c r="E78" s="65" t="s">
        <v>155</v>
      </c>
      <c r="F78" s="43"/>
      <c r="G78" s="44"/>
      <c r="H78" s="43" t="s">
        <v>150</v>
      </c>
      <c r="I78" s="43"/>
      <c r="J78" s="44"/>
      <c r="K78" s="44"/>
      <c r="L78" s="44"/>
      <c r="M78" s="43"/>
      <c r="N78" s="43"/>
      <c r="O78" s="43"/>
      <c r="P78" s="45"/>
      <c r="Q78" s="46"/>
    </row>
    <row r="79" spans="1:17" x14ac:dyDescent="0.3">
      <c r="A79" s="42"/>
      <c r="B79" s="42" t="s">
        <v>229</v>
      </c>
      <c r="C79" s="65" t="s">
        <v>224</v>
      </c>
      <c r="D79" s="65" t="s">
        <v>163</v>
      </c>
      <c r="E79" s="65" t="s">
        <v>158</v>
      </c>
      <c r="F79" s="43"/>
      <c r="G79" s="44"/>
      <c r="H79" s="43" t="s">
        <v>164</v>
      </c>
      <c r="I79" s="43"/>
      <c r="J79" s="44"/>
      <c r="K79" s="44"/>
      <c r="L79" s="44"/>
      <c r="M79" s="43"/>
      <c r="N79" s="43"/>
      <c r="O79" s="43"/>
      <c r="P79" s="45"/>
      <c r="Q79" s="44"/>
    </row>
    <row r="80" spans="1:17" x14ac:dyDescent="0.3">
      <c r="A80" s="42"/>
      <c r="B80" s="42"/>
      <c r="C80" s="65" t="s">
        <v>224</v>
      </c>
      <c r="D80" s="65" t="s">
        <v>165</v>
      </c>
      <c r="E80" s="65" t="s">
        <v>158</v>
      </c>
      <c r="F80" s="43"/>
      <c r="G80" s="44"/>
      <c r="H80" s="43" t="s">
        <v>150</v>
      </c>
      <c r="I80" s="43"/>
      <c r="J80" s="44"/>
      <c r="K80" s="44"/>
      <c r="L80" s="44"/>
      <c r="M80" s="43"/>
      <c r="N80" s="43"/>
      <c r="O80" s="43"/>
      <c r="P80" s="45"/>
      <c r="Q80" s="44"/>
    </row>
    <row r="81" spans="1:17" x14ac:dyDescent="0.3">
      <c r="A81" s="42"/>
      <c r="B81" s="42"/>
      <c r="C81" s="59" t="s">
        <v>230</v>
      </c>
      <c r="D81" s="59" t="s">
        <v>157</v>
      </c>
      <c r="E81" s="59" t="s">
        <v>158</v>
      </c>
      <c r="F81" s="43"/>
      <c r="G81" s="44"/>
      <c r="H81" s="43" t="s">
        <v>150</v>
      </c>
      <c r="I81" s="43"/>
      <c r="J81" s="44"/>
      <c r="K81" s="44"/>
      <c r="L81" s="44"/>
      <c r="M81" s="43"/>
      <c r="N81" s="43"/>
      <c r="O81" s="43"/>
      <c r="P81" s="45"/>
      <c r="Q81" s="46"/>
    </row>
    <row r="82" spans="1:17" x14ac:dyDescent="0.3">
      <c r="A82" s="42"/>
      <c r="B82" s="42"/>
      <c r="C82" s="58" t="s">
        <v>230</v>
      </c>
      <c r="D82" s="58" t="s">
        <v>161</v>
      </c>
      <c r="E82" s="58" t="s">
        <v>172</v>
      </c>
      <c r="F82" s="43"/>
      <c r="G82" s="44"/>
      <c r="H82" s="43" t="s">
        <v>150</v>
      </c>
      <c r="I82" s="43"/>
      <c r="J82" s="44"/>
      <c r="K82" s="44"/>
      <c r="L82" s="44"/>
      <c r="M82" s="43"/>
      <c r="N82" s="43"/>
      <c r="O82" s="43"/>
      <c r="P82" s="45"/>
      <c r="Q82" s="44"/>
    </row>
    <row r="83" spans="1:17" x14ac:dyDescent="0.3">
      <c r="A83" s="42"/>
      <c r="B83" s="42"/>
      <c r="C83" s="59" t="s">
        <v>230</v>
      </c>
      <c r="D83" s="58" t="s">
        <v>231</v>
      </c>
      <c r="E83" s="58" t="s">
        <v>232</v>
      </c>
      <c r="F83" s="44"/>
      <c r="G83" s="44"/>
      <c r="H83" s="43" t="s">
        <v>164</v>
      </c>
      <c r="I83" s="44"/>
      <c r="J83" s="44"/>
      <c r="K83" s="44"/>
      <c r="L83" s="44"/>
      <c r="M83" s="43"/>
      <c r="N83" s="43"/>
      <c r="O83" s="43"/>
      <c r="P83" s="45"/>
      <c r="Q83" s="44"/>
    </row>
    <row r="84" spans="1:17" x14ac:dyDescent="0.3">
      <c r="A84" s="42"/>
      <c r="B84" s="42"/>
      <c r="C84" s="59" t="s">
        <v>230</v>
      </c>
      <c r="D84" s="59" t="s">
        <v>233</v>
      </c>
      <c r="E84" s="59" t="s">
        <v>221</v>
      </c>
      <c r="F84" s="43"/>
      <c r="G84" s="44"/>
      <c r="H84" s="43" t="s">
        <v>150</v>
      </c>
      <c r="I84" s="43"/>
      <c r="J84" s="44"/>
      <c r="K84" s="44"/>
      <c r="L84" s="44"/>
      <c r="M84" s="43"/>
      <c r="N84" s="43"/>
      <c r="O84" s="43"/>
      <c r="P84" s="45"/>
      <c r="Q84" s="46"/>
    </row>
    <row r="85" spans="1:17" x14ac:dyDescent="0.3">
      <c r="A85" s="42"/>
      <c r="B85" s="42"/>
      <c r="C85" s="57" t="s">
        <v>230</v>
      </c>
      <c r="D85" s="57" t="s">
        <v>165</v>
      </c>
      <c r="E85" s="57" t="s">
        <v>158</v>
      </c>
      <c r="F85" s="44"/>
      <c r="G85" s="44"/>
      <c r="H85" s="43" t="s">
        <v>150</v>
      </c>
      <c r="I85" s="43"/>
      <c r="J85" s="44"/>
      <c r="K85" s="44"/>
      <c r="L85" s="44"/>
      <c r="M85" s="43"/>
      <c r="N85" s="43"/>
      <c r="O85" s="43"/>
      <c r="P85" s="45"/>
      <c r="Q85" s="44"/>
    </row>
    <row r="86" spans="1:17" x14ac:dyDescent="0.3">
      <c r="A86" s="42"/>
      <c r="B86" s="42"/>
      <c r="C86" s="60" t="s">
        <v>234</v>
      </c>
      <c r="D86" s="60" t="s">
        <v>206</v>
      </c>
      <c r="E86" s="60" t="s">
        <v>155</v>
      </c>
      <c r="F86" s="43"/>
      <c r="G86" s="44"/>
      <c r="H86" s="43" t="s">
        <v>164</v>
      </c>
      <c r="I86" s="43"/>
      <c r="J86" s="44"/>
      <c r="K86" s="44"/>
      <c r="L86" s="44"/>
      <c r="M86" s="43"/>
      <c r="N86" s="43"/>
      <c r="O86" s="43"/>
      <c r="P86" s="45"/>
      <c r="Q86" s="44"/>
    </row>
    <row r="87" spans="1:17" x14ac:dyDescent="0.3">
      <c r="A87" s="42"/>
      <c r="B87" s="42"/>
      <c r="C87" s="60" t="s">
        <v>234</v>
      </c>
      <c r="D87" s="57" t="s">
        <v>157</v>
      </c>
      <c r="E87" s="57" t="s">
        <v>158</v>
      </c>
      <c r="F87" s="43"/>
      <c r="G87" s="44"/>
      <c r="H87" s="43" t="s">
        <v>150</v>
      </c>
      <c r="I87" s="43"/>
      <c r="J87" s="44"/>
      <c r="K87" s="44"/>
      <c r="L87" s="44"/>
      <c r="M87" s="43"/>
      <c r="N87" s="43"/>
      <c r="O87" s="43"/>
      <c r="P87" s="45"/>
      <c r="Q87" s="44"/>
    </row>
    <row r="88" spans="1:17" x14ac:dyDescent="0.3">
      <c r="A88" s="42"/>
      <c r="B88" s="42"/>
      <c r="C88" s="60" t="s">
        <v>234</v>
      </c>
      <c r="D88" s="60" t="s">
        <v>161</v>
      </c>
      <c r="E88" s="60" t="s">
        <v>155</v>
      </c>
      <c r="F88" s="43"/>
      <c r="G88" s="44"/>
      <c r="H88" s="43" t="s">
        <v>150</v>
      </c>
      <c r="I88" s="43"/>
      <c r="J88" s="44"/>
      <c r="K88" s="44"/>
      <c r="L88" s="44"/>
      <c r="M88" s="43"/>
      <c r="N88" s="43"/>
      <c r="O88" s="43"/>
      <c r="P88" s="45"/>
      <c r="Q88" s="46"/>
    </row>
    <row r="89" spans="1:17" x14ac:dyDescent="0.3">
      <c r="A89" s="42"/>
      <c r="B89" s="42" t="s">
        <v>235</v>
      </c>
      <c r="C89" s="60" t="s">
        <v>234</v>
      </c>
      <c r="D89" s="60" t="s">
        <v>236</v>
      </c>
      <c r="E89" s="60" t="s">
        <v>178</v>
      </c>
      <c r="F89" s="44"/>
      <c r="G89" s="44"/>
      <c r="H89" s="43" t="s">
        <v>150</v>
      </c>
      <c r="I89" s="44"/>
      <c r="J89" s="44"/>
      <c r="K89" s="44"/>
      <c r="L89" s="44"/>
      <c r="M89" s="43"/>
      <c r="N89" s="43"/>
      <c r="O89" s="43"/>
      <c r="P89" s="45"/>
      <c r="Q89" s="44"/>
    </row>
    <row r="90" spans="1:17" x14ac:dyDescent="0.3">
      <c r="A90" s="42"/>
      <c r="B90" s="42" t="s">
        <v>237</v>
      </c>
      <c r="C90" s="60" t="s">
        <v>234</v>
      </c>
      <c r="D90" s="57" t="s">
        <v>238</v>
      </c>
      <c r="E90" s="57" t="s">
        <v>181</v>
      </c>
      <c r="F90" s="43"/>
      <c r="G90" s="44"/>
      <c r="H90" s="43" t="s">
        <v>150</v>
      </c>
      <c r="I90" s="43"/>
      <c r="J90" s="44"/>
      <c r="K90" s="44"/>
      <c r="L90" s="44"/>
      <c r="M90" s="43"/>
      <c r="N90" s="43"/>
      <c r="O90" s="43"/>
      <c r="P90" s="45"/>
      <c r="Q90" s="46"/>
    </row>
    <row r="91" spans="1:17" x14ac:dyDescent="0.3">
      <c r="A91" s="42"/>
      <c r="B91"/>
      <c r="C91" s="60" t="s">
        <v>234</v>
      </c>
      <c r="D91" s="60" t="s">
        <v>163</v>
      </c>
      <c r="E91" s="67" t="s">
        <v>158</v>
      </c>
      <c r="F91" s="44"/>
      <c r="G91" s="44"/>
      <c r="H91" s="43" t="s">
        <v>150</v>
      </c>
      <c r="I91" s="44"/>
      <c r="J91" s="44"/>
      <c r="K91" s="44"/>
      <c r="L91" s="44"/>
      <c r="M91" s="43"/>
      <c r="N91" s="43"/>
      <c r="O91" s="43"/>
      <c r="P91" s="45"/>
      <c r="Q91" s="44"/>
    </row>
    <row r="92" spans="1:17" x14ac:dyDescent="0.3">
      <c r="A92" s="50"/>
      <c r="B92" s="50"/>
      <c r="C92" s="71" t="s">
        <v>234</v>
      </c>
      <c r="D92" s="69" t="s">
        <v>165</v>
      </c>
      <c r="E92" s="69" t="s">
        <v>158</v>
      </c>
      <c r="F92" s="53"/>
      <c r="G92" s="52"/>
      <c r="H92" s="53" t="s">
        <v>150</v>
      </c>
      <c r="I92" s="53"/>
      <c r="J92" s="52"/>
      <c r="K92" s="52"/>
      <c r="L92" s="52"/>
      <c r="M92" s="53"/>
      <c r="N92" s="53"/>
      <c r="O92" s="53"/>
      <c r="P92" s="54"/>
      <c r="Q92" s="52"/>
    </row>
  </sheetData>
  <pageMargins left="0.7" right="0.7" top="0.75" bottom="0.75" header="0.3" footer="0.3"/>
  <pageSetup orientation="portrait" horizontalDpi="204" verticalDpi="192"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0109C-E945-4D14-BF52-676343208B9D}">
  <dimension ref="A1:O1"/>
  <sheetViews>
    <sheetView zoomScaleNormal="100" workbookViewId="0">
      <selection activeCell="W1" sqref="W1"/>
    </sheetView>
  </sheetViews>
  <sheetFormatPr defaultRowHeight="15.75" x14ac:dyDescent="0.25"/>
  <sheetData>
    <row r="1" spans="1:15" ht="60" customHeight="1" x14ac:dyDescent="0.25">
      <c r="A1" s="74" t="s">
        <v>127</v>
      </c>
      <c r="B1" s="75"/>
      <c r="C1" s="75"/>
      <c r="D1" s="75"/>
      <c r="E1" s="75"/>
      <c r="F1" s="75"/>
      <c r="G1" s="75"/>
      <c r="H1" s="75"/>
      <c r="I1" s="75"/>
      <c r="J1" s="75"/>
      <c r="K1" s="75"/>
      <c r="L1" s="75"/>
      <c r="M1" s="75"/>
      <c r="N1" s="75"/>
      <c r="O1" s="75"/>
    </row>
  </sheetData>
  <mergeCells count="1">
    <mergeCell ref="A1:O1"/>
  </mergeCells>
  <hyperlinks>
    <hyperlink ref="A1" r:id="rId1" xr:uid="{9AD18EAD-22DA-4843-87B4-59FC37550F59}"/>
  </hyperlink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C8395-0C09-714F-B88D-E0AF233BED61}">
  <dimension ref="A3:B13"/>
  <sheetViews>
    <sheetView showGridLines="0" topLeftCell="A4" zoomScaleNormal="100" workbookViewId="0">
      <selection activeCell="A5" sqref="A5:B5"/>
    </sheetView>
  </sheetViews>
  <sheetFormatPr defaultColWidth="10.875" defaultRowHeight="15.75" x14ac:dyDescent="0.25"/>
  <cols>
    <col min="1" max="1" width="25.375" style="8" bestFit="1" customWidth="1"/>
    <col min="2" max="2" width="181.375" style="13" customWidth="1"/>
    <col min="3" max="16384" width="10.875" style="8"/>
  </cols>
  <sheetData>
    <row r="3" spans="1:2" x14ac:dyDescent="0.25">
      <c r="A3" s="76" t="s">
        <v>239</v>
      </c>
      <c r="B3" s="76"/>
    </row>
    <row r="4" spans="1:2" x14ac:dyDescent="0.25">
      <c r="A4" s="77"/>
      <c r="B4" s="77"/>
    </row>
    <row r="5" spans="1:2" ht="60" customHeight="1" x14ac:dyDescent="0.25">
      <c r="A5" s="78" t="s">
        <v>240</v>
      </c>
      <c r="B5" s="78"/>
    </row>
    <row r="6" spans="1:2" x14ac:dyDescent="0.25">
      <c r="A6" s="77"/>
      <c r="B6" s="77"/>
    </row>
    <row r="7" spans="1:2" x14ac:dyDescent="0.25">
      <c r="A7" s="28" t="s">
        <v>241</v>
      </c>
      <c r="B7" s="29" t="s">
        <v>242</v>
      </c>
    </row>
    <row r="8" spans="1:2" ht="31.5" x14ac:dyDescent="0.25">
      <c r="A8" s="30" t="s">
        <v>243</v>
      </c>
      <c r="B8" s="31" t="s">
        <v>244</v>
      </c>
    </row>
    <row r="9" spans="1:2" x14ac:dyDescent="0.25">
      <c r="A9" s="30" t="s">
        <v>245</v>
      </c>
      <c r="B9" s="31" t="s">
        <v>246</v>
      </c>
    </row>
    <row r="10" spans="1:2" x14ac:dyDescent="0.25">
      <c r="A10" s="30" t="s">
        <v>247</v>
      </c>
      <c r="B10" s="31" t="s">
        <v>248</v>
      </c>
    </row>
    <row r="11" spans="1:2" x14ac:dyDescent="0.25">
      <c r="A11" s="30" t="s">
        <v>249</v>
      </c>
      <c r="B11" s="31" t="s">
        <v>250</v>
      </c>
    </row>
    <row r="12" spans="1:2" ht="31.5" x14ac:dyDescent="0.25">
      <c r="A12" s="30" t="s">
        <v>251</v>
      </c>
      <c r="B12" s="31" t="s">
        <v>252</v>
      </c>
    </row>
    <row r="13" spans="1:2" x14ac:dyDescent="0.25">
      <c r="A13" s="30" t="s">
        <v>253</v>
      </c>
      <c r="B13" s="31" t="s">
        <v>254</v>
      </c>
    </row>
  </sheetData>
  <mergeCells count="4">
    <mergeCell ref="A3:B3"/>
    <mergeCell ref="A4:B4"/>
    <mergeCell ref="A5:B5"/>
    <mergeCell ref="A6:B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38478-16F8-0245-8897-C93E92D9EA2A}">
  <dimension ref="A1:R12"/>
  <sheetViews>
    <sheetView showGridLines="0" topLeftCell="B1" zoomScaleNormal="100" workbookViewId="0">
      <selection activeCell="A3" sqref="A3"/>
    </sheetView>
  </sheetViews>
  <sheetFormatPr defaultColWidth="11" defaultRowHeight="15.75" x14ac:dyDescent="0.25"/>
  <cols>
    <col min="1" max="1" width="17.375" style="8" customWidth="1"/>
    <col min="2" max="2" width="31.5" style="9" customWidth="1"/>
    <col min="3" max="3" width="23" style="8" customWidth="1"/>
    <col min="4" max="4" width="25.625" style="8" customWidth="1"/>
    <col min="5" max="5" width="16.875" style="8" customWidth="1"/>
    <col min="6" max="6" width="12.875" style="8" customWidth="1"/>
    <col min="7" max="7" width="14" style="8" customWidth="1"/>
    <col min="8" max="8" width="24" style="8" customWidth="1"/>
    <col min="9" max="9" width="18.875" style="8" customWidth="1"/>
    <col min="10" max="10" width="27.875" style="8" customWidth="1"/>
    <col min="11" max="11" width="18.125" style="9" bestFit="1" customWidth="1"/>
    <col min="12" max="12" width="24" style="8" customWidth="1"/>
    <col min="13" max="13" width="16.875" style="8" customWidth="1"/>
    <col min="14" max="14" width="20.625" style="8" customWidth="1"/>
    <col min="15" max="15" width="28.625" style="8" customWidth="1"/>
    <col min="16" max="16" width="25.875" style="8" customWidth="1"/>
    <col min="17" max="17" width="22.5" style="8" customWidth="1"/>
    <col min="18" max="18" width="56.625" style="13" bestFit="1" customWidth="1"/>
    <col min="19" max="16384" width="11" style="8"/>
  </cols>
  <sheetData>
    <row r="1" spans="1:18" ht="12.95" customHeight="1" x14ac:dyDescent="0.25">
      <c r="A1" s="27">
        <f t="shared" ref="A1:R1" si="0">COUNTA(A3:A2689)</f>
        <v>0</v>
      </c>
      <c r="B1" s="27">
        <f t="shared" si="0"/>
        <v>0</v>
      </c>
      <c r="C1" s="27">
        <f t="shared" si="0"/>
        <v>0</v>
      </c>
      <c r="D1" s="27">
        <f t="shared" si="0"/>
        <v>0</v>
      </c>
      <c r="E1" s="27">
        <f t="shared" si="0"/>
        <v>0</v>
      </c>
      <c r="F1" s="27">
        <f t="shared" si="0"/>
        <v>0</v>
      </c>
      <c r="G1" s="27">
        <f t="shared" si="0"/>
        <v>0</v>
      </c>
      <c r="H1" s="27">
        <f t="shared" si="0"/>
        <v>0</v>
      </c>
      <c r="I1" s="27">
        <f t="shared" si="0"/>
        <v>0</v>
      </c>
      <c r="J1" s="27">
        <f t="shared" si="0"/>
        <v>0</v>
      </c>
      <c r="K1" s="27">
        <f t="shared" si="0"/>
        <v>0</v>
      </c>
      <c r="L1" s="27">
        <f t="shared" si="0"/>
        <v>0</v>
      </c>
      <c r="M1" s="27">
        <f t="shared" si="0"/>
        <v>0</v>
      </c>
      <c r="N1" s="27">
        <f t="shared" si="0"/>
        <v>0</v>
      </c>
      <c r="O1" s="27">
        <f t="shared" si="0"/>
        <v>0</v>
      </c>
      <c r="P1" s="27">
        <f t="shared" si="0"/>
        <v>0</v>
      </c>
      <c r="Q1" s="27">
        <f t="shared" si="0"/>
        <v>0</v>
      </c>
      <c r="R1" s="27">
        <f t="shared" si="0"/>
        <v>0</v>
      </c>
    </row>
    <row r="2" spans="1:18" x14ac:dyDescent="0.25">
      <c r="A2" s="9" t="s">
        <v>255</v>
      </c>
      <c r="B2" s="9" t="s">
        <v>256</v>
      </c>
      <c r="C2" s="9" t="s">
        <v>257</v>
      </c>
      <c r="D2" s="9" t="s">
        <v>25</v>
      </c>
      <c r="E2" s="9" t="s">
        <v>258</v>
      </c>
      <c r="F2" s="9" t="s">
        <v>259</v>
      </c>
      <c r="G2" s="9" t="s">
        <v>31</v>
      </c>
      <c r="H2" s="9" t="s">
        <v>33</v>
      </c>
      <c r="I2" s="9" t="s">
        <v>260</v>
      </c>
      <c r="J2" s="9" t="s">
        <v>261</v>
      </c>
      <c r="K2" s="9" t="s">
        <v>262</v>
      </c>
      <c r="L2" s="9" t="s">
        <v>263</v>
      </c>
      <c r="M2" s="33" t="s">
        <v>136</v>
      </c>
      <c r="N2" s="9" t="s">
        <v>39</v>
      </c>
      <c r="O2" s="9" t="s">
        <v>41</v>
      </c>
      <c r="P2" s="9" t="s">
        <v>49</v>
      </c>
      <c r="Q2" s="9" t="s">
        <v>51</v>
      </c>
      <c r="R2" s="10" t="s">
        <v>2</v>
      </c>
    </row>
    <row r="3" spans="1:18" x14ac:dyDescent="0.25">
      <c r="A3" s="11"/>
      <c r="B3" s="14"/>
      <c r="C3" s="11"/>
      <c r="D3" s="11"/>
      <c r="E3" s="11"/>
      <c r="F3" s="11"/>
      <c r="G3" s="11"/>
      <c r="H3" s="11"/>
      <c r="I3" s="11"/>
      <c r="J3" s="11"/>
      <c r="K3" s="14"/>
      <c r="L3"/>
      <c r="M3"/>
      <c r="N3" s="11"/>
      <c r="O3" s="11"/>
      <c r="P3" s="11"/>
      <c r="Q3" s="11"/>
      <c r="R3" s="12"/>
    </row>
    <row r="4" spans="1:18" x14ac:dyDescent="0.25">
      <c r="A4" s="11"/>
      <c r="B4" s="14"/>
      <c r="C4" s="11"/>
      <c r="D4" s="11"/>
      <c r="E4" s="11"/>
      <c r="F4" s="11"/>
      <c r="G4" s="11"/>
      <c r="H4" s="11"/>
      <c r="I4" s="11"/>
      <c r="J4" s="11"/>
      <c r="K4" s="14"/>
      <c r="L4"/>
      <c r="M4"/>
      <c r="N4" s="11"/>
      <c r="O4" s="11"/>
      <c r="P4" s="11"/>
      <c r="Q4" s="11"/>
      <c r="R4" s="12"/>
    </row>
    <row r="5" spans="1:18" x14ac:dyDescent="0.25">
      <c r="A5" s="11"/>
      <c r="B5" s="14"/>
      <c r="C5" s="11"/>
      <c r="D5" s="11"/>
      <c r="E5" s="11"/>
      <c r="F5" s="11"/>
      <c r="G5" s="11"/>
      <c r="H5" s="11"/>
      <c r="I5" s="11"/>
      <c r="J5" s="11"/>
      <c r="K5" s="14"/>
      <c r="L5"/>
      <c r="M5"/>
      <c r="N5" s="11"/>
      <c r="O5" s="11"/>
      <c r="P5" s="11"/>
      <c r="Q5" s="11"/>
      <c r="R5" s="12"/>
    </row>
    <row r="6" spans="1:18" x14ac:dyDescent="0.25">
      <c r="A6" s="11"/>
      <c r="B6" s="14"/>
      <c r="C6" s="11"/>
      <c r="D6" s="11"/>
      <c r="E6" s="11"/>
      <c r="F6" s="11"/>
      <c r="G6" s="11"/>
      <c r="H6" s="11"/>
      <c r="I6" s="11"/>
      <c r="J6" s="11"/>
      <c r="K6" s="14"/>
      <c r="L6"/>
      <c r="M6"/>
      <c r="N6" s="11"/>
      <c r="O6" s="11"/>
      <c r="P6" s="11"/>
      <c r="Q6" s="11"/>
      <c r="R6" s="12"/>
    </row>
    <row r="7" spans="1:18" x14ac:dyDescent="0.25">
      <c r="A7" s="11"/>
      <c r="B7" s="14"/>
      <c r="C7" s="11"/>
      <c r="D7" s="11"/>
      <c r="E7" s="11"/>
      <c r="F7" s="11"/>
      <c r="G7" s="11"/>
      <c r="H7" s="11"/>
      <c r="I7" s="11"/>
      <c r="J7" s="11"/>
      <c r="K7" s="14"/>
      <c r="L7"/>
      <c r="M7"/>
      <c r="N7" s="11"/>
      <c r="O7" s="11"/>
      <c r="P7" s="11"/>
      <c r="Q7" s="11"/>
      <c r="R7" s="12"/>
    </row>
    <row r="8" spans="1:18" x14ac:dyDescent="0.25">
      <c r="A8" s="11"/>
      <c r="B8" s="14"/>
      <c r="C8" s="11"/>
      <c r="D8" s="11"/>
      <c r="E8" s="11"/>
      <c r="F8" s="11"/>
      <c r="G8" s="11"/>
      <c r="H8" s="11"/>
      <c r="I8" s="11"/>
      <c r="J8" s="11"/>
      <c r="K8" s="14"/>
      <c r="L8"/>
      <c r="M8"/>
      <c r="N8" s="11"/>
      <c r="O8" s="11"/>
      <c r="P8" s="11"/>
      <c r="Q8" s="11"/>
      <c r="R8" s="12"/>
    </row>
    <row r="9" spans="1:18" x14ac:dyDescent="0.25">
      <c r="A9" s="11"/>
      <c r="B9" s="14"/>
      <c r="C9" s="11"/>
      <c r="D9" s="11"/>
      <c r="E9" s="11"/>
      <c r="F9" s="11"/>
      <c r="G9" s="11"/>
      <c r="H9" s="11"/>
      <c r="I9" s="11"/>
      <c r="J9" s="11"/>
      <c r="K9" s="14"/>
      <c r="L9"/>
      <c r="M9"/>
      <c r="N9" s="11"/>
      <c r="O9" s="11"/>
      <c r="P9" s="11"/>
      <c r="Q9" s="11"/>
      <c r="R9" s="12"/>
    </row>
    <row r="10" spans="1:18" x14ac:dyDescent="0.25">
      <c r="A10" s="11"/>
      <c r="B10" s="14"/>
      <c r="C10" s="11"/>
      <c r="D10" s="11"/>
      <c r="E10" s="11"/>
      <c r="F10" s="11"/>
      <c r="G10" s="11"/>
      <c r="H10" s="11"/>
      <c r="I10" s="11"/>
      <c r="J10" s="11"/>
      <c r="K10" s="14"/>
      <c r="L10"/>
      <c r="M10"/>
      <c r="N10" s="11"/>
      <c r="O10" s="11"/>
      <c r="P10" s="11"/>
      <c r="Q10" s="11"/>
      <c r="R10" s="12"/>
    </row>
    <row r="11" spans="1:18" x14ac:dyDescent="0.25">
      <c r="A11" s="11"/>
      <c r="B11" s="14"/>
      <c r="C11" s="11"/>
      <c r="D11" s="11"/>
      <c r="E11" s="11"/>
      <c r="F11" s="11"/>
      <c r="G11" s="11"/>
      <c r="H11" s="11"/>
      <c r="I11" s="11"/>
      <c r="J11" s="11"/>
      <c r="K11" s="14"/>
      <c r="L11"/>
      <c r="M11"/>
      <c r="N11" s="11"/>
      <c r="O11" s="11"/>
      <c r="P11" s="11"/>
      <c r="Q11" s="11"/>
      <c r="R11" s="12"/>
    </row>
    <row r="12" spans="1:18" x14ac:dyDescent="0.25">
      <c r="A12" s="11"/>
      <c r="B12" s="14"/>
      <c r="C12" s="11"/>
      <c r="D12" s="11"/>
      <c r="E12" s="11"/>
      <c r="F12" s="11"/>
      <c r="G12" s="11"/>
      <c r="H12" s="11"/>
      <c r="I12" s="11"/>
      <c r="J12" s="11"/>
      <c r="K12" s="14"/>
      <c r="L12"/>
      <c r="M12"/>
      <c r="N12" s="11"/>
      <c r="O12" s="11"/>
      <c r="P12" s="11"/>
      <c r="Q12" s="11"/>
      <c r="R12" s="12"/>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04B24C9A801F44A9CE052E0399FA3E9" ma:contentTypeVersion="17" ma:contentTypeDescription="Create a new document." ma:contentTypeScope="" ma:versionID="5c6a91ae350c78ce72ef4c620cdc3ffe">
  <xsd:schema xmlns:xsd="http://www.w3.org/2001/XMLSchema" xmlns:xs="http://www.w3.org/2001/XMLSchema" xmlns:p="http://schemas.microsoft.com/office/2006/metadata/properties" xmlns:ns2="af59e059-980c-4945-b07d-f2732a809732" xmlns:ns3="5d7e7df5-6e5a-4bc7-adb5-727e95596a67" targetNamespace="http://schemas.microsoft.com/office/2006/metadata/properties" ma:root="true" ma:fieldsID="48e6e7f62425292ad8a13f53e1af572d" ns2:_="" ns3:_="">
    <xsd:import namespace="af59e059-980c-4945-b07d-f2732a809732"/>
    <xsd:import namespace="5d7e7df5-6e5a-4bc7-adb5-727e95596a67"/>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MediaServiceObjectDetectorVersions" minOccurs="0"/>
                <xsd:element ref="ns2:MediaServiceSearchPropertie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59e059-980c-4945-b07d-f2732a80973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06ba3718-5506-416b-8e31-497ebdc09e32"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5d7e7df5-6e5a-4bc7-adb5-727e95596a67"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96a8e471-0057-4e95-b02a-2a81f369e5d4}" ma:internalName="TaxCatchAll" ma:showField="CatchAllData" ma:web="5d7e7df5-6e5a-4bc7-adb5-727e95596a6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5d7e7df5-6e5a-4bc7-adb5-727e95596a67">
      <UserInfo>
        <DisplayName>Daniel A. Battaglia</DisplayName>
        <AccountId>304</AccountId>
        <AccountType/>
      </UserInfo>
    </SharedWithUsers>
    <lcf76f155ced4ddcb4097134ff3c332f xmlns="af59e059-980c-4945-b07d-f2732a809732">
      <Terms xmlns="http://schemas.microsoft.com/office/infopath/2007/PartnerControls"/>
    </lcf76f155ced4ddcb4097134ff3c332f>
    <TaxCatchAll xmlns="5d7e7df5-6e5a-4bc7-adb5-727e95596a67" xsi:nil="true"/>
  </documentManagement>
</p:properties>
</file>

<file path=customXml/itemProps1.xml><?xml version="1.0" encoding="utf-8"?>
<ds:datastoreItem xmlns:ds="http://schemas.openxmlformats.org/officeDocument/2006/customXml" ds:itemID="{75AE6859-E511-4899-97DF-FAFB055BFDD3}">
  <ds:schemaRefs>
    <ds:schemaRef ds:uri="http://schemas.microsoft.com/sharepoint/v3/contenttype/forms"/>
  </ds:schemaRefs>
</ds:datastoreItem>
</file>

<file path=customXml/itemProps2.xml><?xml version="1.0" encoding="utf-8"?>
<ds:datastoreItem xmlns:ds="http://schemas.openxmlformats.org/officeDocument/2006/customXml" ds:itemID="{DCD8F5E7-9FE5-4FCC-8427-45B10717CA5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f59e059-980c-4945-b07d-f2732a809732"/>
    <ds:schemaRef ds:uri="5d7e7df5-6e5a-4bc7-adb5-727e95596a6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4F79B0E-4068-4D32-A81B-AA8580D184CD}">
  <ds:schemaRefs>
    <ds:schemaRef ds:uri="http://schemas.microsoft.com/office/2006/metadata/properties"/>
    <ds:schemaRef ds:uri="http://schemas.microsoft.com/office/infopath/2007/PartnerControls"/>
    <ds:schemaRef ds:uri="5d7e7df5-6e5a-4bc7-adb5-727e95596a67"/>
    <ds:schemaRef ds:uri="af59e059-980c-4945-b07d-f2732a809732"/>
  </ds:schemaRefs>
</ds:datastoreItem>
</file>

<file path=docMetadata/LabelInfo.xml><?xml version="1.0" encoding="utf-8"?>
<clbl:labelList xmlns:clbl="http://schemas.microsoft.com/office/2020/mipLabelMetadata">
  <clbl:label id="{ebdf33a9-c54e-4e05-811a-b38ce5879c7c}" enabled="1" method="Privileged" siteId="{00dbd1fb-c5ea-4664-b048-6e809757474c}"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Glossary</vt:lpstr>
      <vt:lpstr>API Summary</vt:lpstr>
      <vt:lpstr>Entities</vt:lpstr>
      <vt:lpstr>ERD</vt:lpstr>
      <vt:lpstr>DGBee Summary</vt:lpstr>
      <vt:lpstr>Data Dictionary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David S. Helmuth</dc:creator>
  <cp:keywords/>
  <dc:description/>
  <cp:lastModifiedBy>Ray J. D'Onofrio</cp:lastModifiedBy>
  <cp:revision/>
  <dcterms:created xsi:type="dcterms:W3CDTF">2023-04-05T18:50:19Z</dcterms:created>
  <dcterms:modified xsi:type="dcterms:W3CDTF">2025-11-10T18:35:15Z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0x010100F04B24C9A801F44A9CE052E0399FA3E9</vt:lpwstr>
  </property>
  <property fmtid="{D5CDD505-2E9C-101B-9397-08002B2CF9AE}" pid="3" name="MediaServiceImageTags">
    <vt:lpwstr/>
  </property>
</Properties>
</file>